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mestrado\coleta_dados_petr4\Mentorias\2026-10-16_Julio\"/>
    </mc:Choice>
  </mc:AlternateContent>
  <xr:revisionPtr revIDLastSave="0" documentId="13_ncr:1_{E2EECFB2-4F54-47B3-ACBE-19B2E4E43253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Resumo" sheetId="1" r:id="rId1"/>
    <sheet name="Direção" sheetId="2" r:id="rId2"/>
    <sheet name="Volatilidade" sheetId="3" r:id="rId3"/>
    <sheet name="Preço" sheetId="4" r:id="rId4"/>
    <sheet name="McNemar" sheetId="5" r:id="rId5"/>
    <sheet name="Notas e metodologia" sheetId="6" r:id="rId6"/>
  </sheets>
  <definedNames>
    <definedName name="_xlnm._FilterDatabase" localSheetId="1" hidden="1">Direção!$A$1:$I$61</definedName>
    <definedName name="_xlnm._FilterDatabase" localSheetId="4" hidden="1">McNemar!$A$1:$F$21</definedName>
    <definedName name="_xlnm._FilterDatabase" localSheetId="3" hidden="1">Preço!$A$1:$F$41</definedName>
    <definedName name="_xlnm._FilterDatabase" localSheetId="2" hidden="1">Volatilidade!$A$1:$F$51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5" l="1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H61" i="2"/>
  <c r="I60" i="2"/>
  <c r="H60" i="2"/>
  <c r="H59" i="2"/>
  <c r="H58" i="2"/>
  <c r="H57" i="2"/>
  <c r="H56" i="2"/>
  <c r="I55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E4" i="1"/>
  <c r="I59" i="2" s="1"/>
  <c r="I61" i="2" l="1"/>
  <c r="I4" i="2"/>
  <c r="I8" i="2"/>
  <c r="I12" i="2"/>
  <c r="I16" i="2"/>
  <c r="I20" i="2"/>
  <c r="I24" i="2"/>
  <c r="I28" i="2"/>
  <c r="I32" i="2"/>
  <c r="I36" i="2"/>
  <c r="I40" i="2"/>
  <c r="I44" i="2"/>
  <c r="I48" i="2"/>
  <c r="I52" i="2"/>
  <c r="I56" i="2"/>
  <c r="I5" i="2"/>
  <c r="I17" i="2"/>
  <c r="I21" i="2"/>
  <c r="I25" i="2"/>
  <c r="I29" i="2"/>
  <c r="I33" i="2"/>
  <c r="I37" i="2"/>
  <c r="I41" i="2"/>
  <c r="I45" i="2"/>
  <c r="I49" i="2"/>
  <c r="I53" i="2"/>
  <c r="I57" i="2"/>
  <c r="I54" i="2"/>
  <c r="I9" i="2"/>
  <c r="I2" i="2"/>
  <c r="I10" i="2"/>
  <c r="I18" i="2"/>
  <c r="I22" i="2"/>
  <c r="I26" i="2"/>
  <c r="I30" i="2"/>
  <c r="I34" i="2"/>
  <c r="I38" i="2"/>
  <c r="I42" i="2"/>
  <c r="I46" i="2"/>
  <c r="I50" i="2"/>
  <c r="I58" i="2"/>
  <c r="I13" i="2"/>
  <c r="I6" i="2"/>
  <c r="I14" i="2"/>
  <c r="I3" i="2"/>
  <c r="I7" i="2"/>
  <c r="I11" i="2"/>
  <c r="I15" i="2"/>
  <c r="I19" i="2"/>
  <c r="I23" i="2"/>
  <c r="I27" i="2"/>
  <c r="I31" i="2"/>
  <c r="I35" i="2"/>
  <c r="I39" i="2"/>
  <c r="I43" i="2"/>
  <c r="I47" i="2"/>
  <c r="I51" i="2"/>
</calcChain>
</file>

<file path=xl/sharedStrings.xml><?xml version="1.0" encoding="utf-8"?>
<sst xmlns="http://schemas.openxmlformats.org/spreadsheetml/2006/main" count="455" uniqueCount="76">
  <si>
    <t>Prophet × GARCH+SVM/XGBoost — 10 principais ações</t>
  </si>
  <si>
    <t>GARCH(1,1) próprio por papel; SVM/XGBoost/HAR ajustados uma vez (treino+validação); Prophet reajustado a cada 21 pregões em janela expansiva, nunca prevendo mais que isso à frente sem se reancorar; split cronológico 60/15/25</t>
  </si>
  <si>
    <t>Limiar de Bonferroni — família Direção (80 testes):</t>
  </si>
  <si>
    <t>Ticker</t>
  </si>
  <si>
    <t>Direção:
melhor clássico</t>
  </si>
  <si>
    <t>Acerto
clássico</t>
  </si>
  <si>
    <t>Direção:
Prophet</t>
  </si>
  <si>
    <t>Prophet
ganha?</t>
  </si>
  <si>
    <t>Volatilidade:
Prophet vs régua
justa (R²-OS)</t>
  </si>
  <si>
    <t>Preço:
Prophet vs régua
justa (R²-OS)</t>
  </si>
  <si>
    <t>Leitura</t>
  </si>
  <si>
    <t>VALE3</t>
  </si>
  <si>
    <t>SVM (preço)</t>
  </si>
  <si>
    <t>Não</t>
  </si>
  <si>
    <t>pior que não fazer nada, nos dois alvos contínuos</t>
  </si>
  <si>
    <t>ITUB4</t>
  </si>
  <si>
    <t>XGBoost (preço)</t>
  </si>
  <si>
    <t>Sim</t>
  </si>
  <si>
    <t>PETR4</t>
  </si>
  <si>
    <t>SBSP3</t>
  </si>
  <si>
    <t>BBDC4</t>
  </si>
  <si>
    <t>B3SA3</t>
  </si>
  <si>
    <t>ITSA4</t>
  </si>
  <si>
    <t>BPAC11</t>
  </si>
  <si>
    <t>BBAS3</t>
  </si>
  <si>
    <t>ABEV3</t>
  </si>
  <si>
    <t>Conclusão: a régua destas duas colunas é a comparação JUSTA — a 'ingênua ancorada', que recebe exatamente a mesma informação que o Prophet (o último valor conhecido antes do bloco de 21 pregões) e simplesmente a segura. Em 10 de 10 papéis o Prophet ficou PIOR que essa régua na volatilidade, e em 10 de 10 no preço — ou seja, extrapolar a tendência atrapalhou em vez de ajudar. Na direção, o Prophet perdeu do melhor modelo clássico em 7 de 10 papéis. Ver a aba 'Notas e metodologia' para por que esta régua, e não a ingênua diária, é a comparação correta.</t>
  </si>
  <si>
    <t>Braço</t>
  </si>
  <si>
    <t>Classe
majoritária</t>
  </si>
  <si>
    <t>Acurácia</t>
  </si>
  <si>
    <t>AUC</t>
  </si>
  <si>
    <t>% dias em que
prevê ALTA</t>
  </si>
  <si>
    <t>p vs
majoritária</t>
  </si>
  <si>
    <t>Passa
(p&lt;0,05)?</t>
  </si>
  <si>
    <t>Sobrevive
Bonferroni?</t>
  </si>
  <si>
    <t>SVM (preço+CVM)</t>
  </si>
  <si>
    <t>XGBoost (preço+CVM)</t>
  </si>
  <si>
    <t>Prophet (preço)</t>
  </si>
  <si>
    <t>—</t>
  </si>
  <si>
    <t>Prophet (preço+CVM)</t>
  </si>
  <si>
    <t>MAE</t>
  </si>
  <si>
    <t>RMSE</t>
  </si>
  <si>
    <t>R²-OS vs HAR
(info diária)</t>
  </si>
  <si>
    <t>R²-OS vs ancorada
(COMPARAÇÃO JUSTA)</t>
  </si>
  <si>
    <t>HAR (GARCH, referência)</t>
  </si>
  <si>
    <t>HAR + CVM</t>
  </si>
  <si>
    <t>Ingênua ancorada (mesma info do Prophet)</t>
  </si>
  <si>
    <t>Prophet (volatilidade)</t>
  </si>
  <si>
    <t>Prophet (volatilidade+CVM)</t>
  </si>
  <si>
    <t>MAE (R$)</t>
  </si>
  <si>
    <t>RMSE (R$)</t>
  </si>
  <si>
    <t>R²-OS vs ingênua
diária (info diária)</t>
  </si>
  <si>
    <t>Ingênua diária (fechamento de ontem)</t>
  </si>
  <si>
    <t>Comparação</t>
  </si>
  <si>
    <t>Ganhou
(novo)</t>
  </si>
  <si>
    <t>Perdeu
(antigo)</t>
  </si>
  <si>
    <t>p-valor</t>
  </si>
  <si>
    <t>Significativo
(p&lt;0,05)?</t>
  </si>
  <si>
    <t>Prophet(preço) supera o melhor entre SVM/XGB(preço)?</t>
  </si>
  <si>
    <t>CVM ajuda o Prophet na direção?</t>
  </si>
  <si>
    <t>O que é o Prophet, e o que NÃO é</t>
  </si>
  <si>
    <t>Biblioteca de previsão de série temporal (Meta). NÃO classifica texto. O sentimento usado aqui vem do FinBERT, já classificado antes desta pesquisa nos comunicados da CVM — o Prophet só entra como mais um modelo de previsão.</t>
  </si>
  <si>
    <t>Por que o Prophet é reajustado a cada 21 pregões, e os outros não</t>
  </si>
  <si>
    <t>Um primeiro teste ajustou o Prophet uma vez só e pediu para prever os 579 pregões de teste inteiros de uma vez — quase 2 anos à frente sem nunca se reancorar. A tendência disparou: R²-OS de -8.325% na volatilidade e -69.604% no preço, um resultado degenerado. Aqui ele é reajustado a cada ~21 pregões (janela expansiva), nunca prevendo mais que um mês à frente de uma vez.</t>
  </si>
  <si>
    <t>A régua JUSTA — e por que ela existe nesta planilha</t>
  </si>
  <si>
    <t>A primeira versão desta comparação era DESLEAL com o Prophet, e isso foi corrigido: a ingênua diária enxerga o fechamento de ONTEM em todo dia do teste, enquanto o Prophet, no 21º dia de um bloco, ainda está olhando o que sabia 21 pregões atrás. Comparar os dois assim é comparar quem responde com a notícia de ontem contra quem responde com a do mês passado. Por isso existe a 'ingênua ancorada': ela recebe EXATAMENTE a mesma informação do Prophet (o último valor antes do bloco) e simplesmente segura esse valor. É contra ela que o Prophet deve ser julgado — e é a coluna marcada como COMPARAÇÃO JUSTA.</t>
  </si>
  <si>
    <t>O achado, agora que a comparação é justa</t>
  </si>
  <si>
    <t>Mesmo com a mesma informação, o Prophet fica PIOR que segurar o último valor conhecido — tanto na volatilidade quanto no preço, nos 10 papéis. Ou seja: extrapolar a tendência ATRAPALHA em vez de ajudar, nesta série. Não é um empate nem um ganho pequeno; é um resultado negativo claro. Faz sentido: preço de ação é quase um passeio aleatório, e a tendência que o Prophet projeta para a frente costuma ter virado antes de o bloco acabar (ex.: a PETR4 foi de ~R$35 a ~R$46 entre fev e abr/2026, em degraus diários de até 5% — conferido contra os dados brutos, não é erro de base).</t>
  </si>
  <si>
    <t>A ingênua DIÁRIA, e a pergunta de 12/10 sobre esforço computacional</t>
  </si>
  <si>
    <t>A coluna 'R²-OS vs ingênua diária' mostra o quanto se ganha só por se reatualizar todo dia em vez de uma vez por mês — e o ganho é enorme. Isso responde, com número desta pesquisa, à pergunta do professor na mentoria de 12/10: aqui, a frequência de reatualização vale MUITO mais que a sofisticação do modelo. Reajustar o Prophet todo dia custaria ~21x mais processamento (cada reajuste leva ~1,3s), e ainda assim ele partiria atrás de uma régua que é de graça.</t>
  </si>
  <si>
    <t>Direção — como o Prophet 'vota'</t>
  </si>
  <si>
    <t>O Prophet prevê o PREÇO; a direção prevista é o sinal da diferença entre o preço previsto e o fechamento de ontem. Por isso o Prophet não tem AUC nesta tabela — ele não produz probabilidade de classe, só um valor previsto.</t>
  </si>
  <si>
    <t>Volatilidade — o comparador é o HAR (GARCH)</t>
  </si>
  <si>
    <t>Modelo de Corsi (médias de 1, 5 e 22 pregões da volatilidade GARCH(1,1) do próprio papel), versão linear — mais simples que a combinação quantílica usada só para a PETR4 no Script 18, para caber nos 10 papéis no prazo desta mentoria.</t>
  </si>
  <si>
    <t>Bonferroni — família Direção</t>
  </si>
  <si>
    <t>80 testes (10 papéis × (6 braços vs majoritária + 2 McNemar)). Limiar na aba Resumo, célula E4 — todas as colunas 'Sobrevive Bonferroni?' das abas Direção e McNemar referenciam essa mesma célula.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</si>
</sst>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"/>
    <numFmt numFmtId="165" formatCode="\+0.0%;\-0.0%"/>
    <numFmt numFmtId="166" formatCode="0.000"/>
    <numFmt numFmtId="167" formatCode="0.0%"/>
    <numFmt numFmtId="168" formatCode="0.0000"/>
    <numFmt numFmtId="169" formatCode="&quot;R$&quot;\ #,##0.00"/>
  </numFmts>
  <fonts count="12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sz val="9"/>
      <color rgb="FF595959"/>
      <name val="Arial"/>
    </font>
    <font>
      <b/>
      <sz val="10"/>
      <name val="Arial"/>
    </font>
    <font>
      <b/>
      <sz val="10"/>
      <color rgb="FF0000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sz val="10"/>
      <color rgb="FF0000FF"/>
      <name val="Arial"/>
    </font>
    <font>
      <sz val="10"/>
      <name val="Arial"/>
    </font>
    <font>
      <b/>
      <sz val="11"/>
      <color rgb="FF1F3864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0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0" fontId="7" fillId="3" borderId="1" xfId="0" applyNumberFormat="1" applyFont="1" applyFill="1" applyBorder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right"/>
    </xf>
    <xf numFmtId="0" fontId="8" fillId="3" borderId="1" xfId="0" applyFont="1" applyFill="1" applyBorder="1" applyAlignment="1">
      <alignment vertical="center"/>
    </xf>
    <xf numFmtId="10" fontId="9" fillId="0" borderId="1" xfId="0" applyNumberFormat="1" applyFont="1" applyBorder="1" applyAlignment="1">
      <alignment horizontal="right"/>
    </xf>
    <xf numFmtId="166" fontId="9" fillId="0" borderId="1" xfId="0" applyNumberFormat="1" applyFont="1" applyBorder="1" applyAlignment="1">
      <alignment horizontal="right"/>
    </xf>
    <xf numFmtId="167" fontId="9" fillId="0" borderId="1" xfId="0" applyNumberFormat="1" applyFont="1" applyBorder="1" applyAlignment="1">
      <alignment horizontal="right"/>
    </xf>
    <xf numFmtId="168" fontId="9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0" fontId="9" fillId="3" borderId="1" xfId="0" applyNumberFormat="1" applyFont="1" applyFill="1" applyBorder="1" applyAlignment="1">
      <alignment horizontal="right"/>
    </xf>
    <xf numFmtId="166" fontId="9" fillId="3" borderId="1" xfId="0" applyNumberFormat="1" applyFont="1" applyFill="1" applyBorder="1" applyAlignment="1">
      <alignment horizontal="right"/>
    </xf>
    <xf numFmtId="167" fontId="9" fillId="3" borderId="1" xfId="0" applyNumberFormat="1" applyFont="1" applyFill="1" applyBorder="1" applyAlignment="1">
      <alignment horizontal="right"/>
    </xf>
    <xf numFmtId="168" fontId="9" fillId="3" borderId="1" xfId="0" applyNumberFormat="1" applyFont="1" applyFill="1" applyBorder="1" applyAlignment="1">
      <alignment horizontal="right"/>
    </xf>
    <xf numFmtId="0" fontId="10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65" fontId="9" fillId="0" borderId="1" xfId="0" applyNumberFormat="1" applyFont="1" applyBorder="1" applyAlignment="1">
      <alignment horizontal="right"/>
    </xf>
    <xf numFmtId="165" fontId="9" fillId="3" borderId="1" xfId="0" applyNumberFormat="1" applyFont="1" applyFill="1" applyBorder="1" applyAlignment="1">
      <alignment horizontal="right"/>
    </xf>
    <xf numFmtId="169" fontId="9" fillId="0" borderId="1" xfId="0" applyNumberFormat="1" applyFont="1" applyBorder="1" applyAlignment="1">
      <alignment horizontal="right"/>
    </xf>
    <xf numFmtId="169" fontId="9" fillId="3" borderId="1" xfId="0" applyNumberFormat="1" applyFont="1" applyFill="1" applyBorder="1" applyAlignment="1">
      <alignment horizontal="right"/>
    </xf>
    <xf numFmtId="1" fontId="7" fillId="0" borderId="1" xfId="0" applyNumberFormat="1" applyFont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" fontId="7" fillId="3" borderId="1" xfId="0" applyNumberFormat="1" applyFont="1" applyFill="1" applyBorder="1" applyAlignment="1">
      <alignment horizontal="center"/>
    </xf>
    <xf numFmtId="168" fontId="9" fillId="3" borderId="1" xfId="0" applyNumberFormat="1" applyFont="1" applyFill="1" applyBorder="1" applyAlignment="1">
      <alignment horizont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9" customWidth="1"/>
    <col min="2" max="2" width="20" customWidth="1"/>
    <col min="3" max="4" width="11" customWidth="1"/>
    <col min="5" max="5" width="10" customWidth="1"/>
    <col min="6" max="7" width="17" customWidth="1"/>
    <col min="8" max="8" width="40" customWidth="1"/>
  </cols>
  <sheetData>
    <row r="1" spans="1:8" ht="18" x14ac:dyDescent="0.25">
      <c r="A1" s="1" t="s">
        <v>0</v>
      </c>
    </row>
    <row r="2" spans="1:8" ht="39.950000000000003" customHeight="1" x14ac:dyDescent="0.25">
      <c r="A2" s="40" t="s">
        <v>1</v>
      </c>
      <c r="B2" s="41"/>
      <c r="C2" s="41"/>
      <c r="D2" s="41"/>
      <c r="E2" s="41"/>
      <c r="F2" s="41"/>
      <c r="G2" s="41"/>
      <c r="H2" s="41"/>
    </row>
    <row r="4" spans="1:8" x14ac:dyDescent="0.25">
      <c r="A4" s="42" t="s">
        <v>2</v>
      </c>
      <c r="B4" s="41"/>
      <c r="C4" s="41"/>
      <c r="D4" s="41"/>
      <c r="E4" s="2">
        <f>0.05/80</f>
        <v>6.2500000000000001E-4</v>
      </c>
    </row>
    <row r="6" spans="1:8" ht="32.1" customHeight="1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</row>
    <row r="7" spans="1:8" x14ac:dyDescent="0.25">
      <c r="A7" s="4" t="s">
        <v>11</v>
      </c>
      <c r="B7" s="5" t="s">
        <v>12</v>
      </c>
      <c r="C7" s="6">
        <v>0.50780000000000003</v>
      </c>
      <c r="D7" s="6">
        <v>0.50260000000000005</v>
      </c>
      <c r="E7" s="7" t="s">
        <v>13</v>
      </c>
      <c r="F7" s="8">
        <v>-0.9556</v>
      </c>
      <c r="G7" s="8">
        <v>-6.0948000000000002</v>
      </c>
      <c r="H7" s="9" t="s">
        <v>14</v>
      </c>
    </row>
    <row r="8" spans="1:8" x14ac:dyDescent="0.25">
      <c r="A8" s="10" t="s">
        <v>15</v>
      </c>
      <c r="B8" s="11" t="s">
        <v>16</v>
      </c>
      <c r="C8" s="12">
        <v>0.48699999999999999</v>
      </c>
      <c r="D8" s="12">
        <v>0.49909999999999999</v>
      </c>
      <c r="E8" s="13" t="s">
        <v>17</v>
      </c>
      <c r="F8" s="14">
        <v>-2.5586000000000002</v>
      </c>
      <c r="G8" s="14">
        <v>-2.2261000000000002</v>
      </c>
      <c r="H8" s="15" t="s">
        <v>14</v>
      </c>
    </row>
    <row r="9" spans="1:8" x14ac:dyDescent="0.25">
      <c r="A9" s="4" t="s">
        <v>18</v>
      </c>
      <c r="B9" s="5" t="s">
        <v>12</v>
      </c>
      <c r="C9" s="6">
        <v>0.5181</v>
      </c>
      <c r="D9" s="6">
        <v>0.47670000000000001</v>
      </c>
      <c r="E9" s="7" t="s">
        <v>13</v>
      </c>
      <c r="F9" s="8">
        <v>-1.6029</v>
      </c>
      <c r="G9" s="8">
        <v>-5.3277999999999999</v>
      </c>
      <c r="H9" s="9" t="s">
        <v>14</v>
      </c>
    </row>
    <row r="10" spans="1:8" x14ac:dyDescent="0.25">
      <c r="A10" s="10" t="s">
        <v>19</v>
      </c>
      <c r="B10" s="11" t="s">
        <v>12</v>
      </c>
      <c r="C10" s="12">
        <v>0.49569999999999997</v>
      </c>
      <c r="D10" s="12">
        <v>0.50260000000000005</v>
      </c>
      <c r="E10" s="13" t="s">
        <v>17</v>
      </c>
      <c r="F10" s="14">
        <v>-1.5553999999999999</v>
      </c>
      <c r="G10" s="14">
        <v>-2.0863999999999998</v>
      </c>
      <c r="H10" s="15" t="s">
        <v>14</v>
      </c>
    </row>
    <row r="11" spans="1:8" x14ac:dyDescent="0.25">
      <c r="A11" s="4" t="s">
        <v>20</v>
      </c>
      <c r="B11" s="5" t="s">
        <v>16</v>
      </c>
      <c r="C11" s="6">
        <v>0.50949999999999995</v>
      </c>
      <c r="D11" s="6">
        <v>0.46289999999999998</v>
      </c>
      <c r="E11" s="7" t="s">
        <v>13</v>
      </c>
      <c r="F11" s="8">
        <v>-0.47460000000000002</v>
      </c>
      <c r="G11" s="8">
        <v>-5.1526999999999994</v>
      </c>
      <c r="H11" s="9" t="s">
        <v>14</v>
      </c>
    </row>
    <row r="12" spans="1:8" x14ac:dyDescent="0.25">
      <c r="A12" s="10" t="s">
        <v>21</v>
      </c>
      <c r="B12" s="11" t="s">
        <v>16</v>
      </c>
      <c r="C12" s="12">
        <v>0.52329999999999999</v>
      </c>
      <c r="D12" s="12">
        <v>0.48880000000000001</v>
      </c>
      <c r="E12" s="13" t="s">
        <v>13</v>
      </c>
      <c r="F12" s="14">
        <v>-0.88719999999999999</v>
      </c>
      <c r="G12" s="14">
        <v>-3.8086000000000002</v>
      </c>
      <c r="H12" s="15" t="s">
        <v>14</v>
      </c>
    </row>
    <row r="13" spans="1:8" x14ac:dyDescent="0.25">
      <c r="A13" s="4" t="s">
        <v>22</v>
      </c>
      <c r="B13" s="5" t="s">
        <v>12</v>
      </c>
      <c r="C13" s="6">
        <v>0.51639999999999997</v>
      </c>
      <c r="D13" s="6">
        <v>0.51119999999999999</v>
      </c>
      <c r="E13" s="7" t="s">
        <v>13</v>
      </c>
      <c r="F13" s="8">
        <v>-2.5453000000000001</v>
      </c>
      <c r="G13" s="8">
        <v>-3.3046000000000002</v>
      </c>
      <c r="H13" s="9" t="s">
        <v>14</v>
      </c>
    </row>
    <row r="14" spans="1:8" x14ac:dyDescent="0.25">
      <c r="A14" s="10" t="s">
        <v>23</v>
      </c>
      <c r="B14" s="11" t="s">
        <v>16</v>
      </c>
      <c r="C14" s="12">
        <v>0.52159999999999995</v>
      </c>
      <c r="D14" s="12">
        <v>0.46460000000000001</v>
      </c>
      <c r="E14" s="13" t="s">
        <v>13</v>
      </c>
      <c r="F14" s="14">
        <v>-0.73739999999999994</v>
      </c>
      <c r="G14" s="14">
        <v>-4.8426999999999998</v>
      </c>
      <c r="H14" s="15" t="s">
        <v>14</v>
      </c>
    </row>
    <row r="15" spans="1:8" x14ac:dyDescent="0.25">
      <c r="A15" s="4" t="s">
        <v>24</v>
      </c>
      <c r="B15" s="5" t="s">
        <v>12</v>
      </c>
      <c r="C15" s="6">
        <v>0.50600000000000001</v>
      </c>
      <c r="D15" s="6">
        <v>0.50949999999999995</v>
      </c>
      <c r="E15" s="7" t="s">
        <v>17</v>
      </c>
      <c r="F15" s="8">
        <v>-0.76489999999999991</v>
      </c>
      <c r="G15" s="8">
        <v>-3.0608</v>
      </c>
      <c r="H15" s="9" t="s">
        <v>14</v>
      </c>
    </row>
    <row r="16" spans="1:8" x14ac:dyDescent="0.25">
      <c r="A16" s="10" t="s">
        <v>25</v>
      </c>
      <c r="B16" s="11" t="s">
        <v>16</v>
      </c>
      <c r="C16" s="12">
        <v>0.53200000000000003</v>
      </c>
      <c r="D16" s="12">
        <v>0.50090000000000001</v>
      </c>
      <c r="E16" s="13" t="s">
        <v>13</v>
      </c>
      <c r="F16" s="14">
        <v>-0.48680000000000001</v>
      </c>
      <c r="G16" s="14">
        <v>-1.7958000000000001</v>
      </c>
      <c r="H16" s="15" t="s">
        <v>14</v>
      </c>
    </row>
    <row r="18" spans="1:8" ht="62.1" customHeight="1" x14ac:dyDescent="0.25">
      <c r="A18" s="40" t="s">
        <v>26</v>
      </c>
      <c r="B18" s="41"/>
      <c r="C18" s="41"/>
      <c r="D18" s="41"/>
      <c r="E18" s="41"/>
      <c r="F18" s="41"/>
      <c r="G18" s="41"/>
      <c r="H18" s="41"/>
    </row>
  </sheetData>
  <mergeCells count="3">
    <mergeCell ref="A18:H18"/>
    <mergeCell ref="A4:D4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22" customWidth="1"/>
    <col min="3" max="3" width="12" customWidth="1"/>
    <col min="4" max="4" width="10" customWidth="1"/>
    <col min="5" max="5" width="8" customWidth="1"/>
    <col min="6" max="6" width="14" customWidth="1"/>
    <col min="7" max="7" width="11" customWidth="1"/>
    <col min="8" max="8" width="10" customWidth="1"/>
    <col min="9" max="9" width="11" customWidth="1"/>
  </cols>
  <sheetData>
    <row r="1" spans="1:9" ht="32.1" customHeight="1" x14ac:dyDescent="0.25">
      <c r="A1" s="3" t="s">
        <v>3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</row>
    <row r="2" spans="1:9" x14ac:dyDescent="0.25">
      <c r="A2" s="4" t="s">
        <v>11</v>
      </c>
      <c r="B2" s="5" t="s">
        <v>12</v>
      </c>
      <c r="C2" s="16">
        <v>0.50600000000000001</v>
      </c>
      <c r="D2" s="16">
        <v>0.50780000000000003</v>
      </c>
      <c r="E2" s="17">
        <v>0.50370000000000004</v>
      </c>
      <c r="F2" s="18">
        <v>0.78799999999999992</v>
      </c>
      <c r="G2" s="19">
        <v>0.96685294375039843</v>
      </c>
      <c r="H2" s="20" t="str">
        <f t="shared" ref="H2:H33" si="0">IF(G2&lt;0.05,"Sim","Não")</f>
        <v>Não</v>
      </c>
      <c r="I2" s="21" t="str">
        <f>IF(G2&lt;Resumo!$E$4,"Sim","Não")</f>
        <v>Não</v>
      </c>
    </row>
    <row r="3" spans="1:9" x14ac:dyDescent="0.25">
      <c r="A3" s="10" t="s">
        <v>11</v>
      </c>
      <c r="B3" s="11" t="s">
        <v>16</v>
      </c>
      <c r="C3" s="22">
        <v>0.50600000000000001</v>
      </c>
      <c r="D3" s="22">
        <v>0.46460000000000001</v>
      </c>
      <c r="E3" s="23">
        <v>0.47660000000000002</v>
      </c>
      <c r="F3" s="24">
        <v>0.496</v>
      </c>
      <c r="G3" s="25">
        <v>5.0678821854275691E-2</v>
      </c>
      <c r="H3" s="26" t="str">
        <f t="shared" si="0"/>
        <v>Não</v>
      </c>
      <c r="I3" s="27" t="str">
        <f>IF(G3&lt;Resumo!$E$4,"Sim","Não")</f>
        <v>Não</v>
      </c>
    </row>
    <row r="4" spans="1:9" x14ac:dyDescent="0.25">
      <c r="A4" s="4" t="s">
        <v>11</v>
      </c>
      <c r="B4" s="5" t="s">
        <v>35</v>
      </c>
      <c r="C4" s="16">
        <v>0.50600000000000001</v>
      </c>
      <c r="D4" s="16">
        <v>0.48880000000000001</v>
      </c>
      <c r="E4" s="17">
        <v>0.51100000000000001</v>
      </c>
      <c r="F4" s="18">
        <v>0.75099999999999989</v>
      </c>
      <c r="G4" s="19">
        <v>0.40626098143585571</v>
      </c>
      <c r="H4" s="20" t="str">
        <f t="shared" si="0"/>
        <v>Não</v>
      </c>
      <c r="I4" s="21" t="str">
        <f>IF(G4&lt;Resumo!$E$4,"Sim","Não")</f>
        <v>Não</v>
      </c>
    </row>
    <row r="5" spans="1:9" x14ac:dyDescent="0.25">
      <c r="A5" s="10" t="s">
        <v>11</v>
      </c>
      <c r="B5" s="11" t="s">
        <v>36</v>
      </c>
      <c r="C5" s="22">
        <v>0.50600000000000001</v>
      </c>
      <c r="D5" s="22">
        <v>0.49049999999999999</v>
      </c>
      <c r="E5" s="23">
        <v>0.4783</v>
      </c>
      <c r="F5" s="24">
        <v>0.52500000000000002</v>
      </c>
      <c r="G5" s="25">
        <v>0.45480470828979441</v>
      </c>
      <c r="H5" s="26" t="str">
        <f t="shared" si="0"/>
        <v>Não</v>
      </c>
      <c r="I5" s="27" t="str">
        <f>IF(G5&lt;Resumo!$E$4,"Sim","Não")</f>
        <v>Não</v>
      </c>
    </row>
    <row r="6" spans="1:9" x14ac:dyDescent="0.25">
      <c r="A6" s="4" t="s">
        <v>11</v>
      </c>
      <c r="B6" s="5" t="s">
        <v>37</v>
      </c>
      <c r="C6" s="16">
        <v>0.50600000000000001</v>
      </c>
      <c r="D6" s="16">
        <v>0.50260000000000005</v>
      </c>
      <c r="E6" s="28" t="s">
        <v>38</v>
      </c>
      <c r="F6" s="18">
        <v>0.26100000000000001</v>
      </c>
      <c r="G6" s="19">
        <v>0.8680914430838248</v>
      </c>
      <c r="H6" s="20" t="str">
        <f t="shared" si="0"/>
        <v>Não</v>
      </c>
      <c r="I6" s="21" t="str">
        <f>IF(G6&lt;Resumo!$E$4,"Sim","Não")</f>
        <v>Não</v>
      </c>
    </row>
    <row r="7" spans="1:9" x14ac:dyDescent="0.25">
      <c r="A7" s="10" t="s">
        <v>11</v>
      </c>
      <c r="B7" s="11" t="s">
        <v>39</v>
      </c>
      <c r="C7" s="22">
        <v>0.50600000000000001</v>
      </c>
      <c r="D7" s="22">
        <v>0.50260000000000005</v>
      </c>
      <c r="E7" s="29" t="s">
        <v>38</v>
      </c>
      <c r="F7" s="24">
        <v>0.26100000000000001</v>
      </c>
      <c r="G7" s="25">
        <v>0.8680914430838248</v>
      </c>
      <c r="H7" s="26" t="str">
        <f t="shared" si="0"/>
        <v>Não</v>
      </c>
      <c r="I7" s="27" t="str">
        <f>IF(G7&lt;Resumo!$E$4,"Sim","Não")</f>
        <v>Não</v>
      </c>
    </row>
    <row r="8" spans="1:9" x14ac:dyDescent="0.25">
      <c r="A8" s="4" t="s">
        <v>15</v>
      </c>
      <c r="B8" s="5" t="s">
        <v>12</v>
      </c>
      <c r="C8" s="16">
        <v>0.53369999999999995</v>
      </c>
      <c r="D8" s="16">
        <v>0.4819</v>
      </c>
      <c r="E8" s="17">
        <v>0.49919999999999998</v>
      </c>
      <c r="F8" s="18">
        <v>0.52300000000000002</v>
      </c>
      <c r="G8" s="19">
        <v>1.391968278005699E-2</v>
      </c>
      <c r="H8" s="20" t="str">
        <f t="shared" si="0"/>
        <v>Sim</v>
      </c>
      <c r="I8" s="21" t="str">
        <f>IF(G8&lt;Resumo!$E$4,"Sim","Não")</f>
        <v>Não</v>
      </c>
    </row>
    <row r="9" spans="1:9" x14ac:dyDescent="0.25">
      <c r="A9" s="10" t="s">
        <v>15</v>
      </c>
      <c r="B9" s="11" t="s">
        <v>16</v>
      </c>
      <c r="C9" s="22">
        <v>0.53369999999999995</v>
      </c>
      <c r="D9" s="22">
        <v>0.48699999999999999</v>
      </c>
      <c r="E9" s="23">
        <v>0.46789999999999998</v>
      </c>
      <c r="F9" s="24">
        <v>0.51100000000000001</v>
      </c>
      <c r="G9" s="25">
        <v>2.718439754703092E-2</v>
      </c>
      <c r="H9" s="26" t="str">
        <f t="shared" si="0"/>
        <v>Sim</v>
      </c>
      <c r="I9" s="27" t="str">
        <f>IF(G9&lt;Resumo!$E$4,"Sim","Não")</f>
        <v>Não</v>
      </c>
    </row>
    <row r="10" spans="1:9" x14ac:dyDescent="0.25">
      <c r="A10" s="4" t="s">
        <v>15</v>
      </c>
      <c r="B10" s="5" t="s">
        <v>35</v>
      </c>
      <c r="C10" s="16">
        <v>0.53369999999999995</v>
      </c>
      <c r="D10" s="16">
        <v>0.47670000000000001</v>
      </c>
      <c r="E10" s="17">
        <v>0.51019999999999999</v>
      </c>
      <c r="F10" s="18">
        <v>0.56600000000000006</v>
      </c>
      <c r="G10" s="19">
        <v>6.7297847122454717E-3</v>
      </c>
      <c r="H10" s="20" t="str">
        <f t="shared" si="0"/>
        <v>Sim</v>
      </c>
      <c r="I10" s="21" t="str">
        <f>IF(G10&lt;Resumo!$E$4,"Sim","Não")</f>
        <v>Não</v>
      </c>
    </row>
    <row r="11" spans="1:9" x14ac:dyDescent="0.25">
      <c r="A11" s="10" t="s">
        <v>15</v>
      </c>
      <c r="B11" s="11" t="s">
        <v>36</v>
      </c>
      <c r="C11" s="22">
        <v>0.53369999999999995</v>
      </c>
      <c r="D11" s="22">
        <v>0.50429999999999997</v>
      </c>
      <c r="E11" s="23">
        <v>0.496</v>
      </c>
      <c r="F11" s="24">
        <v>0.47299999999999998</v>
      </c>
      <c r="G11" s="25">
        <v>0.1569969528224851</v>
      </c>
      <c r="H11" s="26" t="str">
        <f t="shared" si="0"/>
        <v>Não</v>
      </c>
      <c r="I11" s="27" t="str">
        <f>IF(G11&lt;Resumo!$E$4,"Sim","Não")</f>
        <v>Não</v>
      </c>
    </row>
    <row r="12" spans="1:9" x14ac:dyDescent="0.25">
      <c r="A12" s="4" t="s">
        <v>15</v>
      </c>
      <c r="B12" s="5" t="s">
        <v>37</v>
      </c>
      <c r="C12" s="16">
        <v>0.53369999999999995</v>
      </c>
      <c r="D12" s="16">
        <v>0.49909999999999999</v>
      </c>
      <c r="E12" s="28" t="s">
        <v>38</v>
      </c>
      <c r="F12" s="18">
        <v>0.42299999999999999</v>
      </c>
      <c r="G12" s="19">
        <v>9.5887082825601266E-2</v>
      </c>
      <c r="H12" s="20" t="str">
        <f t="shared" si="0"/>
        <v>Não</v>
      </c>
      <c r="I12" s="21" t="str">
        <f>IF(G12&lt;Resumo!$E$4,"Sim","Não")</f>
        <v>Não</v>
      </c>
    </row>
    <row r="13" spans="1:9" x14ac:dyDescent="0.25">
      <c r="A13" s="10" t="s">
        <v>15</v>
      </c>
      <c r="B13" s="11" t="s">
        <v>39</v>
      </c>
      <c r="C13" s="22">
        <v>0.53369999999999995</v>
      </c>
      <c r="D13" s="22">
        <v>0.49909999999999999</v>
      </c>
      <c r="E13" s="29" t="s">
        <v>38</v>
      </c>
      <c r="F13" s="24">
        <v>0.42299999999999999</v>
      </c>
      <c r="G13" s="25">
        <v>9.5887082825601266E-2</v>
      </c>
      <c r="H13" s="26" t="str">
        <f t="shared" si="0"/>
        <v>Não</v>
      </c>
      <c r="I13" s="27" t="str">
        <f>IF(G13&lt;Resumo!$E$4,"Sim","Não")</f>
        <v>Não</v>
      </c>
    </row>
    <row r="14" spans="1:9" x14ac:dyDescent="0.25">
      <c r="A14" s="4" t="s">
        <v>18</v>
      </c>
      <c r="B14" s="5" t="s">
        <v>12</v>
      </c>
      <c r="C14" s="16">
        <v>0.53200000000000003</v>
      </c>
      <c r="D14" s="16">
        <v>0.5181</v>
      </c>
      <c r="E14" s="17">
        <v>0.504</v>
      </c>
      <c r="F14" s="18">
        <v>0.95499999999999996</v>
      </c>
      <c r="G14" s="19">
        <v>0.50558274331759456</v>
      </c>
      <c r="H14" s="20" t="str">
        <f t="shared" si="0"/>
        <v>Não</v>
      </c>
      <c r="I14" s="21" t="str">
        <f>IF(G14&lt;Resumo!$E$4,"Sim","Não")</f>
        <v>Não</v>
      </c>
    </row>
    <row r="15" spans="1:9" x14ac:dyDescent="0.25">
      <c r="A15" s="10" t="s">
        <v>18</v>
      </c>
      <c r="B15" s="11" t="s">
        <v>16</v>
      </c>
      <c r="C15" s="22">
        <v>0.53200000000000003</v>
      </c>
      <c r="D15" s="22">
        <v>0.5181</v>
      </c>
      <c r="E15" s="23">
        <v>0.51570000000000005</v>
      </c>
      <c r="F15" s="24">
        <v>0.52300000000000002</v>
      </c>
      <c r="G15" s="25">
        <v>0.50558274331759456</v>
      </c>
      <c r="H15" s="26" t="str">
        <f t="shared" si="0"/>
        <v>Não</v>
      </c>
      <c r="I15" s="27" t="str">
        <f>IF(G15&lt;Resumo!$E$4,"Sim","Não")</f>
        <v>Não</v>
      </c>
    </row>
    <row r="16" spans="1:9" x14ac:dyDescent="0.25">
      <c r="A16" s="4" t="s">
        <v>18</v>
      </c>
      <c r="B16" s="5" t="s">
        <v>35</v>
      </c>
      <c r="C16" s="16">
        <v>0.53200000000000003</v>
      </c>
      <c r="D16" s="16">
        <v>0.52159999999999995</v>
      </c>
      <c r="E16" s="17">
        <v>0.47399999999999998</v>
      </c>
      <c r="F16" s="18">
        <v>0.95900000000000007</v>
      </c>
      <c r="G16" s="19">
        <v>0.61757648240436858</v>
      </c>
      <c r="H16" s="20" t="str">
        <f t="shared" si="0"/>
        <v>Não</v>
      </c>
      <c r="I16" s="21" t="str">
        <f>IF(G16&lt;Resumo!$E$4,"Sim","Não")</f>
        <v>Não</v>
      </c>
    </row>
    <row r="17" spans="1:9" x14ac:dyDescent="0.25">
      <c r="A17" s="10" t="s">
        <v>18</v>
      </c>
      <c r="B17" s="11" t="s">
        <v>36</v>
      </c>
      <c r="C17" s="22">
        <v>0.53200000000000003</v>
      </c>
      <c r="D17" s="22">
        <v>0.51639999999999997</v>
      </c>
      <c r="E17" s="23">
        <v>0.52849999999999997</v>
      </c>
      <c r="F17" s="24">
        <v>0.64599999999999991</v>
      </c>
      <c r="G17" s="25">
        <v>0.45388279159100942</v>
      </c>
      <c r="H17" s="26" t="str">
        <f t="shared" si="0"/>
        <v>Não</v>
      </c>
      <c r="I17" s="27" t="str">
        <f>IF(G17&lt;Resumo!$E$4,"Sim","Não")</f>
        <v>Não</v>
      </c>
    </row>
    <row r="18" spans="1:9" x14ac:dyDescent="0.25">
      <c r="A18" s="4" t="s">
        <v>18</v>
      </c>
      <c r="B18" s="5" t="s">
        <v>37</v>
      </c>
      <c r="C18" s="16">
        <v>0.53200000000000003</v>
      </c>
      <c r="D18" s="16">
        <v>0.47670000000000001</v>
      </c>
      <c r="E18" s="28" t="s">
        <v>38</v>
      </c>
      <c r="F18" s="18">
        <v>0.67200000000000004</v>
      </c>
      <c r="G18" s="19">
        <v>8.6450372259424674E-3</v>
      </c>
      <c r="H18" s="20" t="str">
        <f t="shared" si="0"/>
        <v>Sim</v>
      </c>
      <c r="I18" s="21" t="str">
        <f>IF(G18&lt;Resumo!$E$4,"Sim","Não")</f>
        <v>Não</v>
      </c>
    </row>
    <row r="19" spans="1:9" x14ac:dyDescent="0.25">
      <c r="A19" s="10" t="s">
        <v>18</v>
      </c>
      <c r="B19" s="11" t="s">
        <v>39</v>
      </c>
      <c r="C19" s="22">
        <v>0.53200000000000003</v>
      </c>
      <c r="D19" s="22">
        <v>0.47839999999999999</v>
      </c>
      <c r="E19" s="29" t="s">
        <v>38</v>
      </c>
      <c r="F19" s="24">
        <v>0.67</v>
      </c>
      <c r="G19" s="25">
        <v>1.1013590223844469E-2</v>
      </c>
      <c r="H19" s="26" t="str">
        <f t="shared" si="0"/>
        <v>Sim</v>
      </c>
      <c r="I19" s="27" t="str">
        <f>IF(G19&lt;Resumo!$E$4,"Sim","Não")</f>
        <v>Não</v>
      </c>
    </row>
    <row r="20" spans="1:9" x14ac:dyDescent="0.25">
      <c r="A20" s="4" t="s">
        <v>19</v>
      </c>
      <c r="B20" s="5" t="s">
        <v>12</v>
      </c>
      <c r="C20" s="16">
        <v>0.50780000000000003</v>
      </c>
      <c r="D20" s="16">
        <v>0.49569999999999997</v>
      </c>
      <c r="E20" s="17">
        <v>0.49669999999999997</v>
      </c>
      <c r="F20" s="18">
        <v>0.70099999999999996</v>
      </c>
      <c r="G20" s="19">
        <v>0.56100674060203348</v>
      </c>
      <c r="H20" s="20" t="str">
        <f t="shared" si="0"/>
        <v>Não</v>
      </c>
      <c r="I20" s="21" t="str">
        <f>IF(G20&lt;Resumo!$E$4,"Sim","Não")</f>
        <v>Não</v>
      </c>
    </row>
    <row r="21" spans="1:9" x14ac:dyDescent="0.25">
      <c r="A21" s="10" t="s">
        <v>19</v>
      </c>
      <c r="B21" s="11" t="s">
        <v>16</v>
      </c>
      <c r="C21" s="22">
        <v>0.50780000000000003</v>
      </c>
      <c r="D21" s="22">
        <v>0.45600000000000002</v>
      </c>
      <c r="E21" s="23">
        <v>0.46350000000000002</v>
      </c>
      <c r="F21" s="24">
        <v>0.59899999999999998</v>
      </c>
      <c r="G21" s="25">
        <v>1.412657992025184E-2</v>
      </c>
      <c r="H21" s="26" t="str">
        <f t="shared" si="0"/>
        <v>Sim</v>
      </c>
      <c r="I21" s="27" t="str">
        <f>IF(G21&lt;Resumo!$E$4,"Sim","Não")</f>
        <v>Não</v>
      </c>
    </row>
    <row r="22" spans="1:9" x14ac:dyDescent="0.25">
      <c r="A22" s="4" t="s">
        <v>19</v>
      </c>
      <c r="B22" s="5" t="s">
        <v>35</v>
      </c>
      <c r="C22" s="16">
        <v>0.50780000000000003</v>
      </c>
      <c r="D22" s="16">
        <v>0.50600000000000001</v>
      </c>
      <c r="E22" s="17">
        <v>0.49969999999999998</v>
      </c>
      <c r="F22" s="18">
        <v>0.71499999999999997</v>
      </c>
      <c r="G22" s="19">
        <v>0.93381509470681556</v>
      </c>
      <c r="H22" s="20" t="str">
        <f t="shared" si="0"/>
        <v>Não</v>
      </c>
      <c r="I22" s="21" t="str">
        <f>IF(G22&lt;Resumo!$E$4,"Sim","Não")</f>
        <v>Não</v>
      </c>
    </row>
    <row r="23" spans="1:9" x14ac:dyDescent="0.25">
      <c r="A23" s="10" t="s">
        <v>19</v>
      </c>
      <c r="B23" s="11" t="s">
        <v>36</v>
      </c>
      <c r="C23" s="22">
        <v>0.50780000000000003</v>
      </c>
      <c r="D23" s="22">
        <v>0.45250000000000001</v>
      </c>
      <c r="E23" s="23">
        <v>0.45660000000000001</v>
      </c>
      <c r="F23" s="24">
        <v>0.60299999999999998</v>
      </c>
      <c r="G23" s="25">
        <v>8.7743495297065051E-3</v>
      </c>
      <c r="H23" s="26" t="str">
        <f t="shared" si="0"/>
        <v>Sim</v>
      </c>
      <c r="I23" s="27" t="str">
        <f>IF(G23&lt;Resumo!$E$4,"Sim","Não")</f>
        <v>Não</v>
      </c>
    </row>
    <row r="24" spans="1:9" x14ac:dyDescent="0.25">
      <c r="A24" s="4" t="s">
        <v>19</v>
      </c>
      <c r="B24" s="5" t="s">
        <v>37</v>
      </c>
      <c r="C24" s="16">
        <v>0.50780000000000003</v>
      </c>
      <c r="D24" s="16">
        <v>0.50260000000000005</v>
      </c>
      <c r="E24" s="28" t="s">
        <v>38</v>
      </c>
      <c r="F24" s="18">
        <v>0.44900000000000001</v>
      </c>
      <c r="G24" s="19">
        <v>0.8032529856590791</v>
      </c>
      <c r="H24" s="20" t="str">
        <f t="shared" si="0"/>
        <v>Não</v>
      </c>
      <c r="I24" s="21" t="str">
        <f>IF(G24&lt;Resumo!$E$4,"Sim","Não")</f>
        <v>Não</v>
      </c>
    </row>
    <row r="25" spans="1:9" x14ac:dyDescent="0.25">
      <c r="A25" s="10" t="s">
        <v>19</v>
      </c>
      <c r="B25" s="11" t="s">
        <v>39</v>
      </c>
      <c r="C25" s="22">
        <v>0.50780000000000003</v>
      </c>
      <c r="D25" s="22">
        <v>0.50260000000000005</v>
      </c>
      <c r="E25" s="29" t="s">
        <v>38</v>
      </c>
      <c r="F25" s="24">
        <v>0.44900000000000001</v>
      </c>
      <c r="G25" s="25">
        <v>0.8032529856590791</v>
      </c>
      <c r="H25" s="26" t="str">
        <f t="shared" si="0"/>
        <v>Não</v>
      </c>
      <c r="I25" s="27" t="str">
        <f>IF(G25&lt;Resumo!$E$4,"Sim","Não")</f>
        <v>Não</v>
      </c>
    </row>
    <row r="26" spans="1:9" x14ac:dyDescent="0.25">
      <c r="A26" s="4" t="s">
        <v>20</v>
      </c>
      <c r="B26" s="5" t="s">
        <v>12</v>
      </c>
      <c r="C26" s="16">
        <v>0.52159999999999995</v>
      </c>
      <c r="D26" s="16">
        <v>0.49740000000000001</v>
      </c>
      <c r="E26" s="17">
        <v>0.50549999999999995</v>
      </c>
      <c r="F26" s="18">
        <v>0.28499999999999998</v>
      </c>
      <c r="G26" s="19">
        <v>0.2444938425300878</v>
      </c>
      <c r="H26" s="20" t="str">
        <f t="shared" si="0"/>
        <v>Não</v>
      </c>
      <c r="I26" s="21" t="str">
        <f>IF(G26&lt;Resumo!$E$4,"Sim","Não")</f>
        <v>Não</v>
      </c>
    </row>
    <row r="27" spans="1:9" x14ac:dyDescent="0.25">
      <c r="A27" s="10" t="s">
        <v>20</v>
      </c>
      <c r="B27" s="11" t="s">
        <v>16</v>
      </c>
      <c r="C27" s="22">
        <v>0.52159999999999995</v>
      </c>
      <c r="D27" s="22">
        <v>0.50949999999999995</v>
      </c>
      <c r="E27" s="23">
        <v>0.49630000000000002</v>
      </c>
      <c r="F27" s="24">
        <v>0.48</v>
      </c>
      <c r="G27" s="25">
        <v>0.56067241862442962</v>
      </c>
      <c r="H27" s="26" t="str">
        <f t="shared" si="0"/>
        <v>Não</v>
      </c>
      <c r="I27" s="27" t="str">
        <f>IF(G27&lt;Resumo!$E$4,"Sim","Não")</f>
        <v>Não</v>
      </c>
    </row>
    <row r="28" spans="1:9" x14ac:dyDescent="0.25">
      <c r="A28" s="4" t="s">
        <v>20</v>
      </c>
      <c r="B28" s="5" t="s">
        <v>35</v>
      </c>
      <c r="C28" s="16">
        <v>0.52159999999999995</v>
      </c>
      <c r="D28" s="16">
        <v>0.48010000000000003</v>
      </c>
      <c r="E28" s="17">
        <v>0.49819999999999998</v>
      </c>
      <c r="F28" s="18">
        <v>4.2999999999999997E-2</v>
      </c>
      <c r="G28" s="19">
        <v>5.0479827303082273E-2</v>
      </c>
      <c r="H28" s="20" t="str">
        <f t="shared" si="0"/>
        <v>Não</v>
      </c>
      <c r="I28" s="21" t="str">
        <f>IF(G28&lt;Resumo!$E$4,"Sim","Não")</f>
        <v>Não</v>
      </c>
    </row>
    <row r="29" spans="1:9" x14ac:dyDescent="0.25">
      <c r="A29" s="10" t="s">
        <v>20</v>
      </c>
      <c r="B29" s="11" t="s">
        <v>36</v>
      </c>
      <c r="C29" s="22">
        <v>0.52159999999999995</v>
      </c>
      <c r="D29" s="22">
        <v>0.49399999999999999</v>
      </c>
      <c r="E29" s="23">
        <v>0.50509999999999999</v>
      </c>
      <c r="F29" s="24">
        <v>0.47499999999999998</v>
      </c>
      <c r="G29" s="25">
        <v>0.18346727574606639</v>
      </c>
      <c r="H29" s="26" t="str">
        <f t="shared" si="0"/>
        <v>Não</v>
      </c>
      <c r="I29" s="27" t="str">
        <f>IF(G29&lt;Resumo!$E$4,"Sim","Não")</f>
        <v>Não</v>
      </c>
    </row>
    <row r="30" spans="1:9" x14ac:dyDescent="0.25">
      <c r="A30" s="4" t="s">
        <v>20</v>
      </c>
      <c r="B30" s="5" t="s">
        <v>37</v>
      </c>
      <c r="C30" s="16">
        <v>0.52159999999999995</v>
      </c>
      <c r="D30" s="16">
        <v>0.46289999999999998</v>
      </c>
      <c r="E30" s="28" t="s">
        <v>38</v>
      </c>
      <c r="F30" s="18">
        <v>0.39900000000000002</v>
      </c>
      <c r="G30" s="19">
        <v>5.2749237469594899E-3</v>
      </c>
      <c r="H30" s="20" t="str">
        <f t="shared" si="0"/>
        <v>Sim</v>
      </c>
      <c r="I30" s="21" t="str">
        <f>IF(G30&lt;Resumo!$E$4,"Sim","Não")</f>
        <v>Não</v>
      </c>
    </row>
    <row r="31" spans="1:9" x14ac:dyDescent="0.25">
      <c r="A31" s="10" t="s">
        <v>20</v>
      </c>
      <c r="B31" s="11" t="s">
        <v>39</v>
      </c>
      <c r="C31" s="22">
        <v>0.52159999999999995</v>
      </c>
      <c r="D31" s="22">
        <v>0.45939999999999998</v>
      </c>
      <c r="E31" s="29" t="s">
        <v>38</v>
      </c>
      <c r="F31" s="24">
        <v>0.39600000000000002</v>
      </c>
      <c r="G31" s="25">
        <v>3.1094622265541889E-3</v>
      </c>
      <c r="H31" s="26" t="str">
        <f t="shared" si="0"/>
        <v>Sim</v>
      </c>
      <c r="I31" s="27" t="str">
        <f>IF(G31&lt;Resumo!$E$4,"Sim","Não")</f>
        <v>Não</v>
      </c>
    </row>
    <row r="32" spans="1:9" x14ac:dyDescent="0.25">
      <c r="A32" s="4" t="s">
        <v>21</v>
      </c>
      <c r="B32" s="5" t="s">
        <v>12</v>
      </c>
      <c r="C32" s="16">
        <v>0.50600000000000001</v>
      </c>
      <c r="D32" s="16">
        <v>0.49220000000000003</v>
      </c>
      <c r="E32" s="17">
        <v>0.4622</v>
      </c>
      <c r="F32" s="18">
        <v>0.185</v>
      </c>
      <c r="G32" s="19">
        <v>0.50645315787441891</v>
      </c>
      <c r="H32" s="20" t="str">
        <f t="shared" si="0"/>
        <v>Não</v>
      </c>
      <c r="I32" s="21" t="str">
        <f>IF(G32&lt;Resumo!$E$4,"Sim","Não")</f>
        <v>Não</v>
      </c>
    </row>
    <row r="33" spans="1:9" x14ac:dyDescent="0.25">
      <c r="A33" s="10" t="s">
        <v>21</v>
      </c>
      <c r="B33" s="11" t="s">
        <v>16</v>
      </c>
      <c r="C33" s="22">
        <v>0.50600000000000001</v>
      </c>
      <c r="D33" s="22">
        <v>0.52329999999999999</v>
      </c>
      <c r="E33" s="23">
        <v>0.52769999999999995</v>
      </c>
      <c r="F33" s="24">
        <v>0.42299999999999999</v>
      </c>
      <c r="G33" s="25">
        <v>0.42974521835737373</v>
      </c>
      <c r="H33" s="26" t="str">
        <f t="shared" si="0"/>
        <v>Não</v>
      </c>
      <c r="I33" s="27" t="str">
        <f>IF(G33&lt;Resumo!$E$4,"Sim","Não")</f>
        <v>Não</v>
      </c>
    </row>
    <row r="34" spans="1:9" x14ac:dyDescent="0.25">
      <c r="A34" s="4" t="s">
        <v>21</v>
      </c>
      <c r="B34" s="5" t="s">
        <v>35</v>
      </c>
      <c r="C34" s="16">
        <v>0.50600000000000001</v>
      </c>
      <c r="D34" s="16">
        <v>0.50260000000000005</v>
      </c>
      <c r="E34" s="17">
        <v>0.47689999999999999</v>
      </c>
      <c r="F34" s="18">
        <v>0.26100000000000001</v>
      </c>
      <c r="G34" s="19">
        <v>0.8680914430838248</v>
      </c>
      <c r="H34" s="20" t="str">
        <f t="shared" ref="H34:H65" si="1">IF(G34&lt;0.05,"Sim","Não")</f>
        <v>Não</v>
      </c>
      <c r="I34" s="21" t="str">
        <f>IF(G34&lt;Resumo!$E$4,"Sim","Não")</f>
        <v>Não</v>
      </c>
    </row>
    <row r="35" spans="1:9" x14ac:dyDescent="0.25">
      <c r="A35" s="10" t="s">
        <v>21</v>
      </c>
      <c r="B35" s="11" t="s">
        <v>36</v>
      </c>
      <c r="C35" s="22">
        <v>0.50600000000000001</v>
      </c>
      <c r="D35" s="22">
        <v>0.52849999999999997</v>
      </c>
      <c r="E35" s="23">
        <v>0.52080000000000004</v>
      </c>
      <c r="F35" s="24">
        <v>0.39</v>
      </c>
      <c r="G35" s="25">
        <v>0.29878050196597861</v>
      </c>
      <c r="H35" s="26" t="str">
        <f t="shared" si="1"/>
        <v>Não</v>
      </c>
      <c r="I35" s="27" t="str">
        <f>IF(G35&lt;Resumo!$E$4,"Sim","Não")</f>
        <v>Não</v>
      </c>
    </row>
    <row r="36" spans="1:9" x14ac:dyDescent="0.25">
      <c r="A36" s="4" t="s">
        <v>21</v>
      </c>
      <c r="B36" s="5" t="s">
        <v>37</v>
      </c>
      <c r="C36" s="16">
        <v>0.50600000000000001</v>
      </c>
      <c r="D36" s="16">
        <v>0.48880000000000001</v>
      </c>
      <c r="E36" s="28" t="s">
        <v>38</v>
      </c>
      <c r="F36" s="18">
        <v>0.37799999999999989</v>
      </c>
      <c r="G36" s="19">
        <v>0.40626098143585571</v>
      </c>
      <c r="H36" s="20" t="str">
        <f t="shared" si="1"/>
        <v>Não</v>
      </c>
      <c r="I36" s="21" t="str">
        <f>IF(G36&lt;Resumo!$E$4,"Sim","Não")</f>
        <v>Não</v>
      </c>
    </row>
    <row r="37" spans="1:9" x14ac:dyDescent="0.25">
      <c r="A37" s="10" t="s">
        <v>21</v>
      </c>
      <c r="B37" s="11" t="s">
        <v>39</v>
      </c>
      <c r="C37" s="22">
        <v>0.50600000000000001</v>
      </c>
      <c r="D37" s="22">
        <v>0.48880000000000001</v>
      </c>
      <c r="E37" s="29" t="s">
        <v>38</v>
      </c>
      <c r="F37" s="24">
        <v>0.375</v>
      </c>
      <c r="G37" s="25">
        <v>0.40626098143585571</v>
      </c>
      <c r="H37" s="26" t="str">
        <f t="shared" si="1"/>
        <v>Não</v>
      </c>
      <c r="I37" s="27" t="str">
        <f>IF(G37&lt;Resumo!$E$4,"Sim","Não")</f>
        <v>Não</v>
      </c>
    </row>
    <row r="38" spans="1:9" x14ac:dyDescent="0.25">
      <c r="A38" s="4" t="s">
        <v>22</v>
      </c>
      <c r="B38" s="5" t="s">
        <v>12</v>
      </c>
      <c r="C38" s="16">
        <v>0.5181</v>
      </c>
      <c r="D38" s="16">
        <v>0.51639999999999997</v>
      </c>
      <c r="E38" s="17">
        <v>0.52149999999999996</v>
      </c>
      <c r="F38" s="18">
        <v>0.33900000000000002</v>
      </c>
      <c r="G38" s="19">
        <v>0.93377732088604248</v>
      </c>
      <c r="H38" s="20" t="str">
        <f t="shared" si="1"/>
        <v>Não</v>
      </c>
      <c r="I38" s="21" t="str">
        <f>IF(G38&lt;Resumo!$E$4,"Sim","Não")</f>
        <v>Não</v>
      </c>
    </row>
    <row r="39" spans="1:9" x14ac:dyDescent="0.25">
      <c r="A39" s="10" t="s">
        <v>22</v>
      </c>
      <c r="B39" s="11" t="s">
        <v>16</v>
      </c>
      <c r="C39" s="22">
        <v>0.5181</v>
      </c>
      <c r="D39" s="22">
        <v>0.50429999999999997</v>
      </c>
      <c r="E39" s="23">
        <v>0.50090000000000001</v>
      </c>
      <c r="F39" s="24">
        <v>0.48899999999999999</v>
      </c>
      <c r="G39" s="25">
        <v>0.50618963001818795</v>
      </c>
      <c r="H39" s="26" t="str">
        <f t="shared" si="1"/>
        <v>Não</v>
      </c>
      <c r="I39" s="27" t="str">
        <f>IF(G39&lt;Resumo!$E$4,"Sim","Não")</f>
        <v>Não</v>
      </c>
    </row>
    <row r="40" spans="1:9" x14ac:dyDescent="0.25">
      <c r="A40" s="4" t="s">
        <v>22</v>
      </c>
      <c r="B40" s="5" t="s">
        <v>35</v>
      </c>
      <c r="C40" s="16">
        <v>0.5181</v>
      </c>
      <c r="D40" s="16">
        <v>0.50600000000000001</v>
      </c>
      <c r="E40" s="17">
        <v>0.5413</v>
      </c>
      <c r="F40" s="18">
        <v>0.218</v>
      </c>
      <c r="G40" s="19">
        <v>0.56078411680098095</v>
      </c>
      <c r="H40" s="20" t="str">
        <f t="shared" si="1"/>
        <v>Não</v>
      </c>
      <c r="I40" s="21" t="str">
        <f>IF(G40&lt;Resumo!$E$4,"Sim","Não")</f>
        <v>Não</v>
      </c>
    </row>
    <row r="41" spans="1:9" x14ac:dyDescent="0.25">
      <c r="A41" s="10" t="s">
        <v>22</v>
      </c>
      <c r="B41" s="11" t="s">
        <v>36</v>
      </c>
      <c r="C41" s="22">
        <v>0.5181</v>
      </c>
      <c r="D41" s="22">
        <v>0.51470000000000005</v>
      </c>
      <c r="E41" s="23">
        <v>0.50880000000000003</v>
      </c>
      <c r="F41" s="24">
        <v>0.44700000000000001</v>
      </c>
      <c r="G41" s="25">
        <v>0.86800970537904476</v>
      </c>
      <c r="H41" s="26" t="str">
        <f t="shared" si="1"/>
        <v>Não</v>
      </c>
      <c r="I41" s="27" t="str">
        <f>IF(G41&lt;Resumo!$E$4,"Sim","Não")</f>
        <v>Não</v>
      </c>
    </row>
    <row r="42" spans="1:9" x14ac:dyDescent="0.25">
      <c r="A42" s="4" t="s">
        <v>22</v>
      </c>
      <c r="B42" s="5" t="s">
        <v>37</v>
      </c>
      <c r="C42" s="16">
        <v>0.5181</v>
      </c>
      <c r="D42" s="16">
        <v>0.51119999999999999</v>
      </c>
      <c r="E42" s="28" t="s">
        <v>38</v>
      </c>
      <c r="F42" s="18">
        <v>0.39200000000000002</v>
      </c>
      <c r="G42" s="19">
        <v>0.73960413558332294</v>
      </c>
      <c r="H42" s="20" t="str">
        <f t="shared" si="1"/>
        <v>Não</v>
      </c>
      <c r="I42" s="21" t="str">
        <f>IF(G42&lt;Resumo!$E$4,"Sim","Não")</f>
        <v>Não</v>
      </c>
    </row>
    <row r="43" spans="1:9" x14ac:dyDescent="0.25">
      <c r="A43" s="10" t="s">
        <v>22</v>
      </c>
      <c r="B43" s="11" t="s">
        <v>39</v>
      </c>
      <c r="C43" s="22">
        <v>0.5181</v>
      </c>
      <c r="D43" s="22">
        <v>0.51300000000000001</v>
      </c>
      <c r="E43" s="29" t="s">
        <v>38</v>
      </c>
      <c r="F43" s="24">
        <v>0.39</v>
      </c>
      <c r="G43" s="25">
        <v>0.80314286655171241</v>
      </c>
      <c r="H43" s="26" t="str">
        <f t="shared" si="1"/>
        <v>Não</v>
      </c>
      <c r="I43" s="27" t="str">
        <f>IF(G43&lt;Resumo!$E$4,"Sim","Não")</f>
        <v>Não</v>
      </c>
    </row>
    <row r="44" spans="1:9" x14ac:dyDescent="0.25">
      <c r="A44" s="4" t="s">
        <v>23</v>
      </c>
      <c r="B44" s="5" t="s">
        <v>12</v>
      </c>
      <c r="C44" s="16">
        <v>0.52680000000000005</v>
      </c>
      <c r="D44" s="16">
        <v>0.48699999999999999</v>
      </c>
      <c r="E44" s="17">
        <v>0.4637</v>
      </c>
      <c r="F44" s="18">
        <v>7.9000000000000001E-2</v>
      </c>
      <c r="G44" s="19">
        <v>6.0998805568729247E-2</v>
      </c>
      <c r="H44" s="20" t="str">
        <f t="shared" si="1"/>
        <v>Não</v>
      </c>
      <c r="I44" s="21" t="str">
        <f>IF(G44&lt;Resumo!$E$4,"Sim","Não")</f>
        <v>Não</v>
      </c>
    </row>
    <row r="45" spans="1:9" x14ac:dyDescent="0.25">
      <c r="A45" s="10" t="s">
        <v>23</v>
      </c>
      <c r="B45" s="11" t="s">
        <v>16</v>
      </c>
      <c r="C45" s="22">
        <v>0.52680000000000005</v>
      </c>
      <c r="D45" s="22">
        <v>0.52159999999999995</v>
      </c>
      <c r="E45" s="23">
        <v>0.51580000000000004</v>
      </c>
      <c r="F45" s="24">
        <v>0.39400000000000002</v>
      </c>
      <c r="G45" s="25">
        <v>0.80298762306179317</v>
      </c>
      <c r="H45" s="26" t="str">
        <f t="shared" si="1"/>
        <v>Não</v>
      </c>
      <c r="I45" s="27" t="str">
        <f>IF(G45&lt;Resumo!$E$4,"Sim","Não")</f>
        <v>Não</v>
      </c>
    </row>
    <row r="46" spans="1:9" x14ac:dyDescent="0.25">
      <c r="A46" s="4" t="s">
        <v>23</v>
      </c>
      <c r="B46" s="5" t="s">
        <v>35</v>
      </c>
      <c r="C46" s="16">
        <v>0.52680000000000005</v>
      </c>
      <c r="D46" s="16">
        <v>0.49909999999999999</v>
      </c>
      <c r="E46" s="17">
        <v>0.4672</v>
      </c>
      <c r="F46" s="18">
        <v>0.126</v>
      </c>
      <c r="G46" s="19">
        <v>0.1832440064441021</v>
      </c>
      <c r="H46" s="20" t="str">
        <f t="shared" si="1"/>
        <v>Não</v>
      </c>
      <c r="I46" s="21" t="str">
        <f>IF(G46&lt;Resumo!$E$4,"Sim","Não")</f>
        <v>Não</v>
      </c>
    </row>
    <row r="47" spans="1:9" x14ac:dyDescent="0.25">
      <c r="A47" s="10" t="s">
        <v>23</v>
      </c>
      <c r="B47" s="11" t="s">
        <v>36</v>
      </c>
      <c r="C47" s="22">
        <v>0.52680000000000005</v>
      </c>
      <c r="D47" s="22">
        <v>0.49569999999999997</v>
      </c>
      <c r="E47" s="23">
        <v>0.50390000000000001</v>
      </c>
      <c r="F47" s="24">
        <v>0.434</v>
      </c>
      <c r="G47" s="25">
        <v>0.13432375887456471</v>
      </c>
      <c r="H47" s="26" t="str">
        <f t="shared" si="1"/>
        <v>Não</v>
      </c>
      <c r="I47" s="27" t="str">
        <f>IF(G47&lt;Resumo!$E$4,"Sim","Não")</f>
        <v>Não</v>
      </c>
    </row>
    <row r="48" spans="1:9" x14ac:dyDescent="0.25">
      <c r="A48" s="4" t="s">
        <v>23</v>
      </c>
      <c r="B48" s="5" t="s">
        <v>37</v>
      </c>
      <c r="C48" s="16">
        <v>0.52680000000000005</v>
      </c>
      <c r="D48" s="16">
        <v>0.46460000000000001</v>
      </c>
      <c r="E48" s="28" t="s">
        <v>38</v>
      </c>
      <c r="F48" s="18">
        <v>0.499</v>
      </c>
      <c r="G48" s="19">
        <v>3.0945305630243978E-3</v>
      </c>
      <c r="H48" s="20" t="str">
        <f t="shared" si="1"/>
        <v>Sim</v>
      </c>
      <c r="I48" s="21" t="str">
        <f>IF(G48&lt;Resumo!$E$4,"Sim","Não")</f>
        <v>Não</v>
      </c>
    </row>
    <row r="49" spans="1:9" x14ac:dyDescent="0.25">
      <c r="A49" s="10" t="s">
        <v>23</v>
      </c>
      <c r="B49" s="11" t="s">
        <v>39</v>
      </c>
      <c r="C49" s="22">
        <v>0.52680000000000005</v>
      </c>
      <c r="D49" s="22">
        <v>0.46629999999999999</v>
      </c>
      <c r="E49" s="29" t="s">
        <v>38</v>
      </c>
      <c r="F49" s="24">
        <v>0.501</v>
      </c>
      <c r="G49" s="25">
        <v>4.0446221808875691E-3</v>
      </c>
      <c r="H49" s="26" t="str">
        <f t="shared" si="1"/>
        <v>Sim</v>
      </c>
      <c r="I49" s="27" t="str">
        <f>IF(G49&lt;Resumo!$E$4,"Sim","Não")</f>
        <v>Não</v>
      </c>
    </row>
    <row r="50" spans="1:9" x14ac:dyDescent="0.25">
      <c r="A50" s="4" t="s">
        <v>24</v>
      </c>
      <c r="B50" s="5" t="s">
        <v>12</v>
      </c>
      <c r="C50" s="16">
        <v>0.50260000000000005</v>
      </c>
      <c r="D50" s="16">
        <v>0.50600000000000001</v>
      </c>
      <c r="E50" s="17">
        <v>0.50560000000000005</v>
      </c>
      <c r="F50" s="18">
        <v>0.78200000000000003</v>
      </c>
      <c r="G50" s="19">
        <v>0.90079295668659998</v>
      </c>
      <c r="H50" s="20" t="str">
        <f t="shared" si="1"/>
        <v>Não</v>
      </c>
      <c r="I50" s="21" t="str">
        <f>IF(G50&lt;Resumo!$E$4,"Sim","Não")</f>
        <v>Não</v>
      </c>
    </row>
    <row r="51" spans="1:9" x14ac:dyDescent="0.25">
      <c r="A51" s="10" t="s">
        <v>24</v>
      </c>
      <c r="B51" s="11" t="s">
        <v>16</v>
      </c>
      <c r="C51" s="22">
        <v>0.50260000000000005</v>
      </c>
      <c r="D51" s="22">
        <v>0.47670000000000001</v>
      </c>
      <c r="E51" s="23">
        <v>0.46310000000000001</v>
      </c>
      <c r="F51" s="24">
        <v>0.58700000000000008</v>
      </c>
      <c r="G51" s="25">
        <v>0.2128368170938118</v>
      </c>
      <c r="H51" s="26" t="str">
        <f t="shared" si="1"/>
        <v>Não</v>
      </c>
      <c r="I51" s="27" t="str">
        <f>IF(G51&lt;Resumo!$E$4,"Sim","Não")</f>
        <v>Não</v>
      </c>
    </row>
    <row r="52" spans="1:9" x14ac:dyDescent="0.25">
      <c r="A52" s="4" t="s">
        <v>24</v>
      </c>
      <c r="B52" s="5" t="s">
        <v>35</v>
      </c>
      <c r="C52" s="16">
        <v>0.50260000000000005</v>
      </c>
      <c r="D52" s="16">
        <v>0.51300000000000001</v>
      </c>
      <c r="E52" s="17">
        <v>0.51160000000000005</v>
      </c>
      <c r="F52" s="18">
        <v>0.94499999999999995</v>
      </c>
      <c r="G52" s="19">
        <v>0.64760037586420549</v>
      </c>
      <c r="H52" s="20" t="str">
        <f t="shared" si="1"/>
        <v>Não</v>
      </c>
      <c r="I52" s="21" t="str">
        <f>IF(G52&lt;Resumo!$E$4,"Sim","Não")</f>
        <v>Não</v>
      </c>
    </row>
    <row r="53" spans="1:9" x14ac:dyDescent="0.25">
      <c r="A53" s="10" t="s">
        <v>24</v>
      </c>
      <c r="B53" s="11" t="s">
        <v>36</v>
      </c>
      <c r="C53" s="22">
        <v>0.50260000000000005</v>
      </c>
      <c r="D53" s="22">
        <v>0.47839999999999999</v>
      </c>
      <c r="E53" s="23">
        <v>0.46579999999999999</v>
      </c>
      <c r="F53" s="24">
        <v>0.60299999999999998</v>
      </c>
      <c r="G53" s="25">
        <v>0.2449445552467143</v>
      </c>
      <c r="H53" s="26" t="str">
        <f t="shared" si="1"/>
        <v>Não</v>
      </c>
      <c r="I53" s="27" t="str">
        <f>IF(G53&lt;Resumo!$E$4,"Sim","Não")</f>
        <v>Não</v>
      </c>
    </row>
    <row r="54" spans="1:9" x14ac:dyDescent="0.25">
      <c r="A54" s="4" t="s">
        <v>24</v>
      </c>
      <c r="B54" s="5" t="s">
        <v>37</v>
      </c>
      <c r="C54" s="16">
        <v>0.50260000000000005</v>
      </c>
      <c r="D54" s="16">
        <v>0.50949999999999995</v>
      </c>
      <c r="E54" s="28" t="s">
        <v>38</v>
      </c>
      <c r="F54" s="18">
        <v>0.73099999999999998</v>
      </c>
      <c r="G54" s="19">
        <v>0.77114650563435727</v>
      </c>
      <c r="H54" s="20" t="str">
        <f t="shared" si="1"/>
        <v>Não</v>
      </c>
      <c r="I54" s="21" t="str">
        <f>IF(G54&lt;Resumo!$E$4,"Sim","Não")</f>
        <v>Não</v>
      </c>
    </row>
    <row r="55" spans="1:9" x14ac:dyDescent="0.25">
      <c r="A55" s="10" t="s">
        <v>24</v>
      </c>
      <c r="B55" s="11" t="s">
        <v>39</v>
      </c>
      <c r="C55" s="22">
        <v>0.50260000000000005</v>
      </c>
      <c r="D55" s="22">
        <v>0.50780000000000003</v>
      </c>
      <c r="E55" s="29" t="s">
        <v>38</v>
      </c>
      <c r="F55" s="24">
        <v>0.73199999999999998</v>
      </c>
      <c r="G55" s="25">
        <v>0.83541089532300994</v>
      </c>
      <c r="H55" s="26" t="str">
        <f t="shared" si="1"/>
        <v>Não</v>
      </c>
      <c r="I55" s="27" t="str">
        <f>IF(G55&lt;Resumo!$E$4,"Sim","Não")</f>
        <v>Não</v>
      </c>
    </row>
    <row r="56" spans="1:9" x14ac:dyDescent="0.25">
      <c r="A56" s="4" t="s">
        <v>25</v>
      </c>
      <c r="B56" s="5" t="s">
        <v>12</v>
      </c>
      <c r="C56" s="16">
        <v>0.50090000000000001</v>
      </c>
      <c r="D56" s="16">
        <v>0.50780000000000003</v>
      </c>
      <c r="E56" s="17">
        <v>0.45250000000000001</v>
      </c>
      <c r="F56" s="18">
        <v>3.5000000000000003E-2</v>
      </c>
      <c r="G56" s="19">
        <v>0.77114915895354152</v>
      </c>
      <c r="H56" s="20" t="str">
        <f t="shared" si="1"/>
        <v>Não</v>
      </c>
      <c r="I56" s="21" t="str">
        <f>IF(G56&lt;Resumo!$E$4,"Sim","Não")</f>
        <v>Não</v>
      </c>
    </row>
    <row r="57" spans="1:9" x14ac:dyDescent="0.25">
      <c r="A57" s="10" t="s">
        <v>25</v>
      </c>
      <c r="B57" s="11" t="s">
        <v>16</v>
      </c>
      <c r="C57" s="22">
        <v>0.50090000000000001</v>
      </c>
      <c r="D57" s="22">
        <v>0.53200000000000003</v>
      </c>
      <c r="E57" s="23">
        <v>0.54620000000000002</v>
      </c>
      <c r="F57" s="24">
        <v>0.35899999999999999</v>
      </c>
      <c r="G57" s="25">
        <v>0.1457285169171878</v>
      </c>
      <c r="H57" s="26" t="str">
        <f t="shared" si="1"/>
        <v>Não</v>
      </c>
      <c r="I57" s="27" t="str">
        <f>IF(G57&lt;Resumo!$E$4,"Sim","Não")</f>
        <v>Não</v>
      </c>
    </row>
    <row r="58" spans="1:9" x14ac:dyDescent="0.25">
      <c r="A58" s="4" t="s">
        <v>25</v>
      </c>
      <c r="B58" s="5" t="s">
        <v>35</v>
      </c>
      <c r="C58" s="16">
        <v>0.50090000000000001</v>
      </c>
      <c r="D58" s="16">
        <v>0.50260000000000005</v>
      </c>
      <c r="E58" s="17">
        <v>0.4788</v>
      </c>
      <c r="F58" s="18">
        <v>3.3000000000000002E-2</v>
      </c>
      <c r="G58" s="19">
        <v>0.96685531411725933</v>
      </c>
      <c r="H58" s="20" t="str">
        <f t="shared" si="1"/>
        <v>Não</v>
      </c>
      <c r="I58" s="21" t="str">
        <f>IF(G58&lt;Resumo!$E$4,"Sim","Não")</f>
        <v>Não</v>
      </c>
    </row>
    <row r="59" spans="1:9" x14ac:dyDescent="0.25">
      <c r="A59" s="10" t="s">
        <v>25</v>
      </c>
      <c r="B59" s="11" t="s">
        <v>36</v>
      </c>
      <c r="C59" s="22">
        <v>0.50090000000000001</v>
      </c>
      <c r="D59" s="22">
        <v>0.52500000000000002</v>
      </c>
      <c r="E59" s="23">
        <v>0.54310000000000003</v>
      </c>
      <c r="F59" s="24">
        <v>0.33500000000000002</v>
      </c>
      <c r="G59" s="25">
        <v>0.2618093382230402</v>
      </c>
      <c r="H59" s="26" t="str">
        <f t="shared" si="1"/>
        <v>Não</v>
      </c>
      <c r="I59" s="27" t="str">
        <f>IF(G59&lt;Resumo!$E$4,"Sim","Não")</f>
        <v>Não</v>
      </c>
    </row>
    <row r="60" spans="1:9" x14ac:dyDescent="0.25">
      <c r="A60" s="4" t="s">
        <v>25</v>
      </c>
      <c r="B60" s="5" t="s">
        <v>37</v>
      </c>
      <c r="C60" s="16">
        <v>0.50090000000000001</v>
      </c>
      <c r="D60" s="16">
        <v>0.50090000000000001</v>
      </c>
      <c r="E60" s="28" t="s">
        <v>38</v>
      </c>
      <c r="F60" s="18">
        <v>0.32500000000000001</v>
      </c>
      <c r="G60" s="19">
        <v>1</v>
      </c>
      <c r="H60" s="20" t="str">
        <f t="shared" si="1"/>
        <v>Não</v>
      </c>
      <c r="I60" s="21" t="str">
        <f>IF(G60&lt;Resumo!$E$4,"Sim","Não")</f>
        <v>Não</v>
      </c>
    </row>
    <row r="61" spans="1:9" x14ac:dyDescent="0.25">
      <c r="A61" s="10" t="s">
        <v>25</v>
      </c>
      <c r="B61" s="11" t="s">
        <v>39</v>
      </c>
      <c r="C61" s="22">
        <v>0.50090000000000001</v>
      </c>
      <c r="D61" s="22">
        <v>0.50090000000000001</v>
      </c>
      <c r="E61" s="29" t="s">
        <v>38</v>
      </c>
      <c r="F61" s="24">
        <v>0.32500000000000001</v>
      </c>
      <c r="G61" s="25">
        <v>1</v>
      </c>
      <c r="H61" s="26" t="str">
        <f t="shared" si="1"/>
        <v>Não</v>
      </c>
      <c r="I61" s="27" t="str">
        <f>IF(G61&lt;Resumo!$E$4,"Sim","Não")</f>
        <v>Não</v>
      </c>
    </row>
  </sheetData>
  <autoFilter ref="A1:I6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34" customWidth="1"/>
    <col min="3" max="4" width="10" customWidth="1"/>
    <col min="5" max="5" width="15" customWidth="1"/>
    <col min="6" max="6" width="19" customWidth="1"/>
  </cols>
  <sheetData>
    <row r="1" spans="1:6" ht="32.1" customHeight="1" x14ac:dyDescent="0.25">
      <c r="A1" s="3" t="s">
        <v>3</v>
      </c>
      <c r="B1" s="3" t="s">
        <v>27</v>
      </c>
      <c r="C1" s="3" t="s">
        <v>40</v>
      </c>
      <c r="D1" s="3" t="s">
        <v>41</v>
      </c>
      <c r="E1" s="3" t="s">
        <v>42</v>
      </c>
      <c r="F1" s="3" t="s">
        <v>43</v>
      </c>
    </row>
    <row r="2" spans="1:6" x14ac:dyDescent="0.25">
      <c r="A2" s="4" t="s">
        <v>11</v>
      </c>
      <c r="B2" s="5" t="s">
        <v>44</v>
      </c>
      <c r="C2" s="19">
        <v>6.5600000000000006E-2</v>
      </c>
      <c r="D2" s="19">
        <v>9.0800000000000006E-2</v>
      </c>
      <c r="E2" s="30">
        <v>0</v>
      </c>
      <c r="F2" s="30">
        <v>0.88879999999999992</v>
      </c>
    </row>
    <row r="3" spans="1:6" x14ac:dyDescent="0.25">
      <c r="A3" s="10" t="s">
        <v>11</v>
      </c>
      <c r="B3" s="11" t="s">
        <v>45</v>
      </c>
      <c r="C3" s="25">
        <v>6.8099999999999994E-2</v>
      </c>
      <c r="D3" s="25">
        <v>9.3200000000000005E-2</v>
      </c>
      <c r="E3" s="31">
        <v>-5.33E-2</v>
      </c>
      <c r="F3" s="31">
        <v>0.88290000000000002</v>
      </c>
    </row>
    <row r="4" spans="1:6" x14ac:dyDescent="0.25">
      <c r="A4" s="4" t="s">
        <v>11</v>
      </c>
      <c r="B4" s="5" t="s">
        <v>46</v>
      </c>
      <c r="C4" s="19">
        <v>0.1958</v>
      </c>
      <c r="D4" s="19">
        <v>0.2722</v>
      </c>
      <c r="E4" s="30">
        <v>-7.9938000000000002</v>
      </c>
      <c r="F4" s="30">
        <v>0</v>
      </c>
    </row>
    <row r="5" spans="1:6" x14ac:dyDescent="0.25">
      <c r="A5" s="10" t="s">
        <v>11</v>
      </c>
      <c r="B5" s="11" t="s">
        <v>47</v>
      </c>
      <c r="C5" s="25">
        <v>0.31059999999999999</v>
      </c>
      <c r="D5" s="25">
        <v>0.38069999999999998</v>
      </c>
      <c r="E5" s="31">
        <v>-16.588699999999999</v>
      </c>
      <c r="F5" s="31">
        <v>-0.9556</v>
      </c>
    </row>
    <row r="6" spans="1:6" x14ac:dyDescent="0.25">
      <c r="A6" s="4" t="s">
        <v>11</v>
      </c>
      <c r="B6" s="5" t="s">
        <v>48</v>
      </c>
      <c r="C6" s="19">
        <v>0.31040000000000001</v>
      </c>
      <c r="D6" s="19">
        <v>0.38190000000000002</v>
      </c>
      <c r="E6" s="30">
        <v>-16.6997</v>
      </c>
      <c r="F6" s="30">
        <v>-0.96799999999999997</v>
      </c>
    </row>
    <row r="7" spans="1:6" x14ac:dyDescent="0.25">
      <c r="A7" s="10" t="s">
        <v>15</v>
      </c>
      <c r="B7" s="11" t="s">
        <v>44</v>
      </c>
      <c r="C7" s="25">
        <v>3.4000000000000002E-2</v>
      </c>
      <c r="D7" s="25">
        <v>4.8000000000000001E-2</v>
      </c>
      <c r="E7" s="31">
        <v>0</v>
      </c>
      <c r="F7" s="31">
        <v>0.87180000000000002</v>
      </c>
    </row>
    <row r="8" spans="1:6" x14ac:dyDescent="0.25">
      <c r="A8" s="4" t="s">
        <v>15</v>
      </c>
      <c r="B8" s="5" t="s">
        <v>45</v>
      </c>
      <c r="C8" s="19">
        <v>3.39E-2</v>
      </c>
      <c r="D8" s="19">
        <v>4.8000000000000001E-2</v>
      </c>
      <c r="E8" s="30">
        <v>5.9999999999999995E-4</v>
      </c>
      <c r="F8" s="30">
        <v>0.87190000000000001</v>
      </c>
    </row>
    <row r="9" spans="1:6" x14ac:dyDescent="0.25">
      <c r="A9" s="10" t="s">
        <v>15</v>
      </c>
      <c r="B9" s="11" t="s">
        <v>46</v>
      </c>
      <c r="C9" s="25">
        <v>0.1026</v>
      </c>
      <c r="D9" s="25">
        <v>0.1341</v>
      </c>
      <c r="E9" s="31">
        <v>-6.8007000000000009</v>
      </c>
      <c r="F9" s="31">
        <v>0</v>
      </c>
    </row>
    <row r="10" spans="1:6" x14ac:dyDescent="0.25">
      <c r="A10" s="4" t="s">
        <v>15</v>
      </c>
      <c r="B10" s="5" t="s">
        <v>47</v>
      </c>
      <c r="C10" s="19">
        <v>0.19320000000000001</v>
      </c>
      <c r="D10" s="19">
        <v>0.253</v>
      </c>
      <c r="E10" s="30">
        <v>-26.759499999999999</v>
      </c>
      <c r="F10" s="30">
        <v>-2.5586000000000002</v>
      </c>
    </row>
    <row r="11" spans="1:6" x14ac:dyDescent="0.25">
      <c r="A11" s="10" t="s">
        <v>15</v>
      </c>
      <c r="B11" s="11" t="s">
        <v>48</v>
      </c>
      <c r="C11" s="25">
        <v>0.19309999999999999</v>
      </c>
      <c r="D11" s="25">
        <v>0.25290000000000001</v>
      </c>
      <c r="E11" s="31">
        <v>-26.7319</v>
      </c>
      <c r="F11" s="31">
        <v>-2.5550999999999999</v>
      </c>
    </row>
    <row r="12" spans="1:6" x14ac:dyDescent="0.25">
      <c r="A12" s="4" t="s">
        <v>18</v>
      </c>
      <c r="B12" s="5" t="s">
        <v>44</v>
      </c>
      <c r="C12" s="19">
        <v>6.8699999999999997E-2</v>
      </c>
      <c r="D12" s="19">
        <v>9.6699999999999994E-2</v>
      </c>
      <c r="E12" s="30">
        <v>0</v>
      </c>
      <c r="F12" s="30">
        <v>0.87760000000000005</v>
      </c>
    </row>
    <row r="13" spans="1:6" x14ac:dyDescent="0.25">
      <c r="A13" s="10" t="s">
        <v>18</v>
      </c>
      <c r="B13" s="11" t="s">
        <v>45</v>
      </c>
      <c r="C13" s="25">
        <v>6.9199999999999998E-2</v>
      </c>
      <c r="D13" s="25">
        <v>9.6799999999999997E-2</v>
      </c>
      <c r="E13" s="31">
        <v>-2.8E-3</v>
      </c>
      <c r="F13" s="31">
        <v>0.87730000000000008</v>
      </c>
    </row>
    <row r="14" spans="1:6" x14ac:dyDescent="0.25">
      <c r="A14" s="4" t="s">
        <v>18</v>
      </c>
      <c r="B14" s="5" t="s">
        <v>46</v>
      </c>
      <c r="C14" s="19">
        <v>0.1996</v>
      </c>
      <c r="D14" s="19">
        <v>0.27629999999999999</v>
      </c>
      <c r="E14" s="30">
        <v>-7.1721000000000004</v>
      </c>
      <c r="F14" s="30">
        <v>0</v>
      </c>
    </row>
    <row r="15" spans="1:6" x14ac:dyDescent="0.25">
      <c r="A15" s="10" t="s">
        <v>18</v>
      </c>
      <c r="B15" s="11" t="s">
        <v>47</v>
      </c>
      <c r="C15" s="25">
        <v>0.36409999999999998</v>
      </c>
      <c r="D15" s="25">
        <v>0.44579999999999997</v>
      </c>
      <c r="E15" s="31">
        <v>-20.270800000000001</v>
      </c>
      <c r="F15" s="31">
        <v>-1.6029</v>
      </c>
    </row>
    <row r="16" spans="1:6" x14ac:dyDescent="0.25">
      <c r="A16" s="4" t="s">
        <v>18</v>
      </c>
      <c r="B16" s="5" t="s">
        <v>48</v>
      </c>
      <c r="C16" s="19">
        <v>0.36109999999999998</v>
      </c>
      <c r="D16" s="19">
        <v>0.44500000000000001</v>
      </c>
      <c r="E16" s="30">
        <v>-20.198</v>
      </c>
      <c r="F16" s="30">
        <v>-1.5940000000000001</v>
      </c>
    </row>
    <row r="17" spans="1:6" x14ac:dyDescent="0.25">
      <c r="A17" s="10" t="s">
        <v>19</v>
      </c>
      <c r="B17" s="11" t="s">
        <v>44</v>
      </c>
      <c r="C17" s="25">
        <v>4.0099999999999997E-2</v>
      </c>
      <c r="D17" s="25">
        <v>7.17E-2</v>
      </c>
      <c r="E17" s="31">
        <v>0</v>
      </c>
      <c r="F17" s="31">
        <v>0.877</v>
      </c>
    </row>
    <row r="18" spans="1:6" x14ac:dyDescent="0.25">
      <c r="A18" s="4" t="s">
        <v>19</v>
      </c>
      <c r="B18" s="5" t="s">
        <v>45</v>
      </c>
      <c r="C18" s="19">
        <v>4.0300000000000002E-2</v>
      </c>
      <c r="D18" s="19">
        <v>7.1999999999999995E-2</v>
      </c>
      <c r="E18" s="30">
        <v>-8.8000000000000005E-3</v>
      </c>
      <c r="F18" s="30">
        <v>0.87599999999999989</v>
      </c>
    </row>
    <row r="19" spans="1:6" x14ac:dyDescent="0.25">
      <c r="A19" s="10" t="s">
        <v>19</v>
      </c>
      <c r="B19" s="11" t="s">
        <v>46</v>
      </c>
      <c r="C19" s="25">
        <v>0.13600000000000001</v>
      </c>
      <c r="D19" s="25">
        <v>0.20449999999999999</v>
      </c>
      <c r="E19" s="31">
        <v>-7.1332000000000004</v>
      </c>
      <c r="F19" s="31">
        <v>0</v>
      </c>
    </row>
    <row r="20" spans="1:6" x14ac:dyDescent="0.25">
      <c r="A20" s="4" t="s">
        <v>19</v>
      </c>
      <c r="B20" s="5" t="s">
        <v>47</v>
      </c>
      <c r="C20" s="19">
        <v>0.24560000000000001</v>
      </c>
      <c r="D20" s="19">
        <v>0.32690000000000002</v>
      </c>
      <c r="E20" s="30">
        <v>-19.7834</v>
      </c>
      <c r="F20" s="30">
        <v>-1.5553999999999999</v>
      </c>
    </row>
    <row r="21" spans="1:6" x14ac:dyDescent="0.25">
      <c r="A21" s="10" t="s">
        <v>19</v>
      </c>
      <c r="B21" s="11" t="s">
        <v>48</v>
      </c>
      <c r="C21" s="25">
        <v>0.2445</v>
      </c>
      <c r="D21" s="25">
        <v>0.32650000000000001</v>
      </c>
      <c r="E21" s="31">
        <v>-19.739899999999999</v>
      </c>
      <c r="F21" s="31">
        <v>-1.55</v>
      </c>
    </row>
    <row r="22" spans="1:6" x14ac:dyDescent="0.25">
      <c r="A22" s="4" t="s">
        <v>20</v>
      </c>
      <c r="B22" s="5" t="s">
        <v>44</v>
      </c>
      <c r="C22" s="19">
        <v>4.2999999999999997E-2</v>
      </c>
      <c r="D22" s="19">
        <v>9.9299999999999999E-2</v>
      </c>
      <c r="E22" s="30">
        <v>0</v>
      </c>
      <c r="F22" s="30">
        <v>0.86290000000000011</v>
      </c>
    </row>
    <row r="23" spans="1:6" x14ac:dyDescent="0.25">
      <c r="A23" s="10" t="s">
        <v>20</v>
      </c>
      <c r="B23" s="11" t="s">
        <v>45</v>
      </c>
      <c r="C23" s="25">
        <v>4.2999999999999997E-2</v>
      </c>
      <c r="D23" s="25">
        <v>9.9299999999999999E-2</v>
      </c>
      <c r="E23" s="31">
        <v>0</v>
      </c>
      <c r="F23" s="31">
        <v>0.86290000000000011</v>
      </c>
    </row>
    <row r="24" spans="1:6" x14ac:dyDescent="0.25">
      <c r="A24" s="4" t="s">
        <v>20</v>
      </c>
      <c r="B24" s="5" t="s">
        <v>46</v>
      </c>
      <c r="C24" s="19">
        <v>0.15659999999999999</v>
      </c>
      <c r="D24" s="19">
        <v>0.26829999999999998</v>
      </c>
      <c r="E24" s="30">
        <v>-6.2961999999999998</v>
      </c>
      <c r="F24" s="30">
        <v>0</v>
      </c>
    </row>
    <row r="25" spans="1:6" x14ac:dyDescent="0.25">
      <c r="A25" s="10" t="s">
        <v>20</v>
      </c>
      <c r="B25" s="11" t="s">
        <v>47</v>
      </c>
      <c r="C25" s="25">
        <v>0.22209999999999999</v>
      </c>
      <c r="D25" s="25">
        <v>0.32579999999999998</v>
      </c>
      <c r="E25" s="31">
        <v>-9.7591000000000001</v>
      </c>
      <c r="F25" s="31">
        <v>-0.47460000000000002</v>
      </c>
    </row>
    <row r="26" spans="1:6" x14ac:dyDescent="0.25">
      <c r="A26" s="4" t="s">
        <v>20</v>
      </c>
      <c r="B26" s="5" t="s">
        <v>48</v>
      </c>
      <c r="C26" s="19">
        <v>0.22189999999999999</v>
      </c>
      <c r="D26" s="19">
        <v>0.32679999999999998</v>
      </c>
      <c r="E26" s="30">
        <v>-9.8270999999999997</v>
      </c>
      <c r="F26" s="30">
        <v>-0.4839</v>
      </c>
    </row>
    <row r="27" spans="1:6" x14ac:dyDescent="0.25">
      <c r="A27" s="10" t="s">
        <v>21</v>
      </c>
      <c r="B27" s="11" t="s">
        <v>44</v>
      </c>
      <c r="C27" s="25">
        <v>4.7800000000000002E-2</v>
      </c>
      <c r="D27" s="25">
        <v>8.1000000000000003E-2</v>
      </c>
      <c r="E27" s="31">
        <v>0</v>
      </c>
      <c r="F27" s="31">
        <v>0.88090000000000002</v>
      </c>
    </row>
    <row r="28" spans="1:6" x14ac:dyDescent="0.25">
      <c r="A28" s="4" t="s">
        <v>21</v>
      </c>
      <c r="B28" s="5" t="s">
        <v>45</v>
      </c>
      <c r="C28" s="19">
        <v>4.87E-2</v>
      </c>
      <c r="D28" s="19">
        <v>8.14E-2</v>
      </c>
      <c r="E28" s="30">
        <v>-1.0699999999999999E-2</v>
      </c>
      <c r="F28" s="30">
        <v>0.87970000000000004</v>
      </c>
    </row>
    <row r="29" spans="1:6" x14ac:dyDescent="0.25">
      <c r="A29" s="10" t="s">
        <v>21</v>
      </c>
      <c r="B29" s="11" t="s">
        <v>46</v>
      </c>
      <c r="C29" s="25">
        <v>0.15010000000000001</v>
      </c>
      <c r="D29" s="25">
        <v>0.23469999999999999</v>
      </c>
      <c r="E29" s="31">
        <v>-7.3986000000000001</v>
      </c>
      <c r="F29" s="31">
        <v>0</v>
      </c>
    </row>
    <row r="30" spans="1:6" x14ac:dyDescent="0.25">
      <c r="A30" s="4" t="s">
        <v>21</v>
      </c>
      <c r="B30" s="5" t="s">
        <v>47</v>
      </c>
      <c r="C30" s="19">
        <v>0.2656</v>
      </c>
      <c r="D30" s="19">
        <v>0.32240000000000002</v>
      </c>
      <c r="E30" s="30">
        <v>-14.8499</v>
      </c>
      <c r="F30" s="30">
        <v>-0.88719999999999999</v>
      </c>
    </row>
    <row r="31" spans="1:6" x14ac:dyDescent="0.25">
      <c r="A31" s="10" t="s">
        <v>21</v>
      </c>
      <c r="B31" s="11" t="s">
        <v>48</v>
      </c>
      <c r="C31" s="25">
        <v>0.2661</v>
      </c>
      <c r="D31" s="25">
        <v>0.3236</v>
      </c>
      <c r="E31" s="31">
        <v>-14.970599999999999</v>
      </c>
      <c r="F31" s="31">
        <v>-0.90159999999999996</v>
      </c>
    </row>
    <row r="32" spans="1:6" x14ac:dyDescent="0.25">
      <c r="A32" s="4" t="s">
        <v>22</v>
      </c>
      <c r="B32" s="5" t="s">
        <v>44</v>
      </c>
      <c r="C32" s="19">
        <v>3.56E-2</v>
      </c>
      <c r="D32" s="19">
        <v>5.1700000000000003E-2</v>
      </c>
      <c r="E32" s="30">
        <v>0</v>
      </c>
      <c r="F32" s="30">
        <v>0.85560000000000003</v>
      </c>
    </row>
    <row r="33" spans="1:6" x14ac:dyDescent="0.25">
      <c r="A33" s="10" t="s">
        <v>22</v>
      </c>
      <c r="B33" s="11" t="s">
        <v>45</v>
      </c>
      <c r="C33" s="25">
        <v>3.5700000000000003E-2</v>
      </c>
      <c r="D33" s="25">
        <v>5.1700000000000003E-2</v>
      </c>
      <c r="E33" s="31">
        <v>1.1999999999999999E-3</v>
      </c>
      <c r="F33" s="31">
        <v>0.85580000000000001</v>
      </c>
    </row>
    <row r="34" spans="1:6" x14ac:dyDescent="0.25">
      <c r="A34" s="4" t="s">
        <v>22</v>
      </c>
      <c r="B34" s="5" t="s">
        <v>46</v>
      </c>
      <c r="C34" s="19">
        <v>0.1036</v>
      </c>
      <c r="D34" s="19">
        <v>0.1361</v>
      </c>
      <c r="E34" s="30">
        <v>-5.9249000000000001</v>
      </c>
      <c r="F34" s="30">
        <v>0</v>
      </c>
    </row>
    <row r="35" spans="1:6" x14ac:dyDescent="0.25">
      <c r="A35" s="10" t="s">
        <v>22</v>
      </c>
      <c r="B35" s="11" t="s">
        <v>47</v>
      </c>
      <c r="C35" s="25">
        <v>0.1895</v>
      </c>
      <c r="D35" s="25">
        <v>0.25629999999999997</v>
      </c>
      <c r="E35" s="31">
        <v>-23.551300000000001</v>
      </c>
      <c r="F35" s="31">
        <v>-2.5453000000000001</v>
      </c>
    </row>
    <row r="36" spans="1:6" x14ac:dyDescent="0.25">
      <c r="A36" s="4" t="s">
        <v>22</v>
      </c>
      <c r="B36" s="5" t="s">
        <v>48</v>
      </c>
      <c r="C36" s="19">
        <v>0.1923</v>
      </c>
      <c r="D36" s="19">
        <v>0.26</v>
      </c>
      <c r="E36" s="30">
        <v>-24.263400000000001</v>
      </c>
      <c r="F36" s="30">
        <v>-2.6482000000000001</v>
      </c>
    </row>
    <row r="37" spans="1:6" x14ac:dyDescent="0.25">
      <c r="A37" s="10" t="s">
        <v>23</v>
      </c>
      <c r="B37" s="11" t="s">
        <v>44</v>
      </c>
      <c r="C37" s="25">
        <v>7.7600000000000002E-2</v>
      </c>
      <c r="D37" s="25">
        <v>0.1421</v>
      </c>
      <c r="E37" s="31">
        <v>0</v>
      </c>
      <c r="F37" s="31">
        <v>0.83010000000000006</v>
      </c>
    </row>
    <row r="38" spans="1:6" x14ac:dyDescent="0.25">
      <c r="A38" s="4" t="s">
        <v>23</v>
      </c>
      <c r="B38" s="5" t="s">
        <v>45</v>
      </c>
      <c r="C38" s="19">
        <v>7.7700000000000005E-2</v>
      </c>
      <c r="D38" s="19">
        <v>0.1419</v>
      </c>
      <c r="E38" s="30">
        <v>3.0999999999999999E-3</v>
      </c>
      <c r="F38" s="30">
        <v>0.8306</v>
      </c>
    </row>
    <row r="39" spans="1:6" x14ac:dyDescent="0.25">
      <c r="A39" s="10" t="s">
        <v>23</v>
      </c>
      <c r="B39" s="11" t="s">
        <v>46</v>
      </c>
      <c r="C39" s="25">
        <v>0.2301</v>
      </c>
      <c r="D39" s="25">
        <v>0.3448</v>
      </c>
      <c r="E39" s="31">
        <v>-4.8852000000000002</v>
      </c>
      <c r="F39" s="31">
        <v>0</v>
      </c>
    </row>
    <row r="40" spans="1:6" x14ac:dyDescent="0.25">
      <c r="A40" s="4" t="s">
        <v>23</v>
      </c>
      <c r="B40" s="5" t="s">
        <v>47</v>
      </c>
      <c r="C40" s="19">
        <v>0.34189999999999998</v>
      </c>
      <c r="D40" s="19">
        <v>0.45450000000000002</v>
      </c>
      <c r="E40" s="30">
        <v>-9.2250999999999994</v>
      </c>
      <c r="F40" s="30">
        <v>-0.73739999999999994</v>
      </c>
    </row>
    <row r="41" spans="1:6" x14ac:dyDescent="0.25">
      <c r="A41" s="10" t="s">
        <v>23</v>
      </c>
      <c r="B41" s="11" t="s">
        <v>48</v>
      </c>
      <c r="C41" s="25">
        <v>0.3448</v>
      </c>
      <c r="D41" s="25">
        <v>0.45479999999999998</v>
      </c>
      <c r="E41" s="31">
        <v>-9.2384000000000004</v>
      </c>
      <c r="F41" s="31">
        <v>-0.73970000000000002</v>
      </c>
    </row>
    <row r="42" spans="1:6" x14ac:dyDescent="0.25">
      <c r="A42" s="4" t="s">
        <v>24</v>
      </c>
      <c r="B42" s="5" t="s">
        <v>44</v>
      </c>
      <c r="C42" s="19">
        <v>6.7599999999999993E-2</v>
      </c>
      <c r="D42" s="19">
        <v>0.14990000000000001</v>
      </c>
      <c r="E42" s="30">
        <v>0</v>
      </c>
      <c r="F42" s="30">
        <v>0.85849999999999993</v>
      </c>
    </row>
    <row r="43" spans="1:6" x14ac:dyDescent="0.25">
      <c r="A43" s="10" t="s">
        <v>24</v>
      </c>
      <c r="B43" s="11" t="s">
        <v>45</v>
      </c>
      <c r="C43" s="25">
        <v>6.7199999999999996E-2</v>
      </c>
      <c r="D43" s="25">
        <v>0.14929999999999999</v>
      </c>
      <c r="E43" s="31">
        <v>7.8000000000000014E-3</v>
      </c>
      <c r="F43" s="31">
        <v>0.85959999999999992</v>
      </c>
    </row>
    <row r="44" spans="1:6" x14ac:dyDescent="0.25">
      <c r="A44" s="4" t="s">
        <v>24</v>
      </c>
      <c r="B44" s="5" t="s">
        <v>46</v>
      </c>
      <c r="C44" s="19">
        <v>0.2334</v>
      </c>
      <c r="D44" s="19">
        <v>0.39860000000000001</v>
      </c>
      <c r="E44" s="30">
        <v>-6.0683999999999996</v>
      </c>
      <c r="F44" s="30">
        <v>0</v>
      </c>
    </row>
    <row r="45" spans="1:6" x14ac:dyDescent="0.25">
      <c r="A45" s="10" t="s">
        <v>24</v>
      </c>
      <c r="B45" s="11" t="s">
        <v>47</v>
      </c>
      <c r="C45" s="25">
        <v>0.40500000000000003</v>
      </c>
      <c r="D45" s="25">
        <v>0.52949999999999997</v>
      </c>
      <c r="E45" s="31">
        <v>-11.475199999999999</v>
      </c>
      <c r="F45" s="31">
        <v>-0.76489999999999991</v>
      </c>
    </row>
    <row r="46" spans="1:6" x14ac:dyDescent="0.25">
      <c r="A46" s="4" t="s">
        <v>24</v>
      </c>
      <c r="B46" s="5" t="s">
        <v>48</v>
      </c>
      <c r="C46" s="19">
        <v>0.40079999999999999</v>
      </c>
      <c r="D46" s="19">
        <v>0.52290000000000003</v>
      </c>
      <c r="E46" s="30">
        <v>-11.1632</v>
      </c>
      <c r="F46" s="30">
        <v>-0.7208</v>
      </c>
    </row>
    <row r="47" spans="1:6" x14ac:dyDescent="0.25">
      <c r="A47" s="10" t="s">
        <v>25</v>
      </c>
      <c r="B47" s="11" t="s">
        <v>44</v>
      </c>
      <c r="C47" s="25">
        <v>2.5399999999999999E-2</v>
      </c>
      <c r="D47" s="25">
        <v>7.0999999999999994E-2</v>
      </c>
      <c r="E47" s="31">
        <v>0</v>
      </c>
      <c r="F47" s="31">
        <v>0.9274</v>
      </c>
    </row>
    <row r="48" spans="1:6" x14ac:dyDescent="0.25">
      <c r="A48" s="4" t="s">
        <v>25</v>
      </c>
      <c r="B48" s="5" t="s">
        <v>45</v>
      </c>
      <c r="C48" s="19">
        <v>2.5399999999999999E-2</v>
      </c>
      <c r="D48" s="19">
        <v>7.0999999999999994E-2</v>
      </c>
      <c r="E48" s="30">
        <v>-1.6000000000000001E-3</v>
      </c>
      <c r="F48" s="30">
        <v>0.92730000000000001</v>
      </c>
    </row>
    <row r="49" spans="1:6" x14ac:dyDescent="0.25">
      <c r="A49" s="10" t="s">
        <v>25</v>
      </c>
      <c r="B49" s="11" t="s">
        <v>46</v>
      </c>
      <c r="C49" s="25">
        <v>0.14269999999999999</v>
      </c>
      <c r="D49" s="25">
        <v>0.26329999999999998</v>
      </c>
      <c r="E49" s="31">
        <v>-12.7714</v>
      </c>
      <c r="F49" s="31">
        <v>0</v>
      </c>
    </row>
    <row r="50" spans="1:6" x14ac:dyDescent="0.25">
      <c r="A50" s="4" t="s">
        <v>25</v>
      </c>
      <c r="B50" s="5" t="s">
        <v>47</v>
      </c>
      <c r="C50" s="19">
        <v>0.2218</v>
      </c>
      <c r="D50" s="19">
        <v>0.3211</v>
      </c>
      <c r="E50" s="30">
        <v>-19.475899999999999</v>
      </c>
      <c r="F50" s="30">
        <v>-0.48680000000000001</v>
      </c>
    </row>
    <row r="51" spans="1:6" x14ac:dyDescent="0.25">
      <c r="A51" s="10" t="s">
        <v>25</v>
      </c>
      <c r="B51" s="11" t="s">
        <v>48</v>
      </c>
      <c r="C51" s="25">
        <v>0.22120000000000001</v>
      </c>
      <c r="D51" s="25">
        <v>0.32</v>
      </c>
      <c r="E51" s="31">
        <v>-19.346499999999999</v>
      </c>
      <c r="F51" s="31">
        <v>-0.47739999999999999</v>
      </c>
    </row>
  </sheetData>
  <autoFilter ref="A1:F5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36" customWidth="1"/>
    <col min="3" max="4" width="11" customWidth="1"/>
    <col min="5" max="5" width="18" customWidth="1"/>
    <col min="6" max="6" width="19" customWidth="1"/>
  </cols>
  <sheetData>
    <row r="1" spans="1:6" ht="32.1" customHeight="1" x14ac:dyDescent="0.25">
      <c r="A1" s="3" t="s">
        <v>3</v>
      </c>
      <c r="B1" s="3" t="s">
        <v>27</v>
      </c>
      <c r="C1" s="3" t="s">
        <v>49</v>
      </c>
      <c r="D1" s="3" t="s">
        <v>50</v>
      </c>
      <c r="E1" s="3" t="s">
        <v>51</v>
      </c>
      <c r="F1" s="3" t="s">
        <v>43</v>
      </c>
    </row>
    <row r="2" spans="1:6" x14ac:dyDescent="0.25">
      <c r="A2" s="4" t="s">
        <v>11</v>
      </c>
      <c r="B2" s="5" t="s">
        <v>52</v>
      </c>
      <c r="C2" s="32">
        <v>0.70479999999999998</v>
      </c>
      <c r="D2" s="32">
        <v>1.0097</v>
      </c>
      <c r="E2" s="30">
        <v>0</v>
      </c>
      <c r="F2" s="30">
        <v>0.91680000000000006</v>
      </c>
    </row>
    <row r="3" spans="1:6" x14ac:dyDescent="0.25">
      <c r="A3" s="10" t="s">
        <v>11</v>
      </c>
      <c r="B3" s="11" t="s">
        <v>46</v>
      </c>
      <c r="C3" s="33">
        <v>2.5301999999999998</v>
      </c>
      <c r="D3" s="33">
        <v>3.4998999999999998</v>
      </c>
      <c r="E3" s="31">
        <v>-11.0138</v>
      </c>
      <c r="F3" s="31">
        <v>0</v>
      </c>
    </row>
    <row r="4" spans="1:6" x14ac:dyDescent="0.25">
      <c r="A4" s="4" t="s">
        <v>11</v>
      </c>
      <c r="B4" s="5" t="s">
        <v>37</v>
      </c>
      <c r="C4" s="32">
        <v>6.5907</v>
      </c>
      <c r="D4" s="32">
        <v>9.3223000000000003</v>
      </c>
      <c r="E4" s="30">
        <v>-84.235499999999988</v>
      </c>
      <c r="F4" s="30">
        <v>-6.0948000000000002</v>
      </c>
    </row>
    <row r="5" spans="1:6" x14ac:dyDescent="0.25">
      <c r="A5" s="10" t="s">
        <v>11</v>
      </c>
      <c r="B5" s="11" t="s">
        <v>39</v>
      </c>
      <c r="C5" s="33">
        <v>6.6105</v>
      </c>
      <c r="D5" s="33">
        <v>9.3480000000000008</v>
      </c>
      <c r="E5" s="31">
        <v>-84.70559999999999</v>
      </c>
      <c r="F5" s="31">
        <v>-6.1338999999999997</v>
      </c>
    </row>
    <row r="6" spans="1:6" x14ac:dyDescent="0.25">
      <c r="A6" s="4" t="s">
        <v>15</v>
      </c>
      <c r="B6" s="5" t="s">
        <v>52</v>
      </c>
      <c r="C6" s="32">
        <v>0.3584</v>
      </c>
      <c r="D6" s="32">
        <v>0.48970000000000002</v>
      </c>
      <c r="E6" s="30">
        <v>0</v>
      </c>
      <c r="F6" s="30">
        <v>0.92930000000000001</v>
      </c>
    </row>
    <row r="7" spans="1:6" x14ac:dyDescent="0.25">
      <c r="A7" s="10" t="s">
        <v>15</v>
      </c>
      <c r="B7" s="11" t="s">
        <v>46</v>
      </c>
      <c r="C7" s="33">
        <v>1.3571</v>
      </c>
      <c r="D7" s="33">
        <v>1.8413999999999999</v>
      </c>
      <c r="E7" s="31">
        <v>-13.1365</v>
      </c>
      <c r="F7" s="31">
        <v>0</v>
      </c>
    </row>
    <row r="8" spans="1:6" x14ac:dyDescent="0.25">
      <c r="A8" s="4" t="s">
        <v>15</v>
      </c>
      <c r="B8" s="5" t="s">
        <v>37</v>
      </c>
      <c r="C8" s="32">
        <v>2.6347999999999998</v>
      </c>
      <c r="D8" s="32">
        <v>3.3073000000000001</v>
      </c>
      <c r="E8" s="30">
        <v>-44.605200000000004</v>
      </c>
      <c r="F8" s="30">
        <v>-2.2261000000000002</v>
      </c>
    </row>
    <row r="9" spans="1:6" x14ac:dyDescent="0.25">
      <c r="A9" s="10" t="s">
        <v>15</v>
      </c>
      <c r="B9" s="11" t="s">
        <v>39</v>
      </c>
      <c r="C9" s="33">
        <v>2.6419000000000001</v>
      </c>
      <c r="D9" s="33">
        <v>3.3109999999999999</v>
      </c>
      <c r="E9" s="31">
        <v>-44.708500000000001</v>
      </c>
      <c r="F9" s="31">
        <v>-2.2334000000000001</v>
      </c>
    </row>
    <row r="10" spans="1:6" x14ac:dyDescent="0.25">
      <c r="A10" s="4" t="s">
        <v>18</v>
      </c>
      <c r="B10" s="5" t="s">
        <v>52</v>
      </c>
      <c r="C10" s="32">
        <v>0.38400000000000001</v>
      </c>
      <c r="D10" s="32">
        <v>0.53839999999999999</v>
      </c>
      <c r="E10" s="30">
        <v>0</v>
      </c>
      <c r="F10" s="30">
        <v>0.93319999999999992</v>
      </c>
    </row>
    <row r="11" spans="1:6" x14ac:dyDescent="0.25">
      <c r="A11" s="10" t="s">
        <v>18</v>
      </c>
      <c r="B11" s="11" t="s">
        <v>46</v>
      </c>
      <c r="C11" s="33">
        <v>1.4180999999999999</v>
      </c>
      <c r="D11" s="33">
        <v>2.0836000000000001</v>
      </c>
      <c r="E11" s="31">
        <v>-13.975899999999999</v>
      </c>
      <c r="F11" s="31">
        <v>0</v>
      </c>
    </row>
    <row r="12" spans="1:6" x14ac:dyDescent="0.25">
      <c r="A12" s="4" t="s">
        <v>18</v>
      </c>
      <c r="B12" s="5" t="s">
        <v>37</v>
      </c>
      <c r="C12" s="32">
        <v>3.9094000000000002</v>
      </c>
      <c r="D12" s="32">
        <v>5.2415000000000003</v>
      </c>
      <c r="E12" s="30">
        <v>-93.764899999999997</v>
      </c>
      <c r="F12" s="30">
        <v>-5.3277999999999999</v>
      </c>
    </row>
    <row r="13" spans="1:6" x14ac:dyDescent="0.25">
      <c r="A13" s="10" t="s">
        <v>18</v>
      </c>
      <c r="B13" s="11" t="s">
        <v>39</v>
      </c>
      <c r="C13" s="33">
        <v>3.9175</v>
      </c>
      <c r="D13" s="33">
        <v>5.2445000000000004</v>
      </c>
      <c r="E13" s="31">
        <v>-93.873099999999994</v>
      </c>
      <c r="F13" s="31">
        <v>-5.3350999999999997</v>
      </c>
    </row>
    <row r="14" spans="1:6" x14ac:dyDescent="0.25">
      <c r="A14" s="4" t="s">
        <v>19</v>
      </c>
      <c r="B14" s="5" t="s">
        <v>52</v>
      </c>
      <c r="C14" s="32">
        <v>0.2893</v>
      </c>
      <c r="D14" s="32">
        <v>0.39150000000000001</v>
      </c>
      <c r="E14" s="30">
        <v>0</v>
      </c>
      <c r="F14" s="30">
        <v>0.91989999999999994</v>
      </c>
    </row>
    <row r="15" spans="1:6" x14ac:dyDescent="0.25">
      <c r="A15" s="10" t="s">
        <v>19</v>
      </c>
      <c r="B15" s="11" t="s">
        <v>46</v>
      </c>
      <c r="C15" s="33">
        <v>0.99319999999999997</v>
      </c>
      <c r="D15" s="33">
        <v>1.3834</v>
      </c>
      <c r="E15" s="31">
        <v>-11.488200000000001</v>
      </c>
      <c r="F15" s="31">
        <v>0</v>
      </c>
    </row>
    <row r="16" spans="1:6" x14ac:dyDescent="0.25">
      <c r="A16" s="4" t="s">
        <v>19</v>
      </c>
      <c r="B16" s="5" t="s">
        <v>37</v>
      </c>
      <c r="C16" s="32">
        <v>1.8711</v>
      </c>
      <c r="D16" s="32">
        <v>2.4304000000000001</v>
      </c>
      <c r="E16" s="30">
        <v>-37.543399999999998</v>
      </c>
      <c r="F16" s="30">
        <v>-2.0863999999999998</v>
      </c>
    </row>
    <row r="17" spans="1:6" x14ac:dyDescent="0.25">
      <c r="A17" s="10" t="s">
        <v>19</v>
      </c>
      <c r="B17" s="11" t="s">
        <v>39</v>
      </c>
      <c r="C17" s="33">
        <v>1.869</v>
      </c>
      <c r="D17" s="33">
        <v>2.4285000000000001</v>
      </c>
      <c r="E17" s="31">
        <v>-37.482600000000012</v>
      </c>
      <c r="F17" s="31">
        <v>-2.0815000000000001</v>
      </c>
    </row>
    <row r="18" spans="1:6" x14ac:dyDescent="0.25">
      <c r="A18" s="4" t="s">
        <v>20</v>
      </c>
      <c r="B18" s="5" t="s">
        <v>52</v>
      </c>
      <c r="C18" s="32">
        <v>0.17710000000000001</v>
      </c>
      <c r="D18" s="32">
        <v>0.24859999999999999</v>
      </c>
      <c r="E18" s="30">
        <v>0</v>
      </c>
      <c r="F18" s="30">
        <v>0.92310000000000003</v>
      </c>
    </row>
    <row r="19" spans="1:6" x14ac:dyDescent="0.25">
      <c r="A19" s="10" t="s">
        <v>20</v>
      </c>
      <c r="B19" s="11" t="s">
        <v>46</v>
      </c>
      <c r="C19" s="33">
        <v>0.62760000000000005</v>
      </c>
      <c r="D19" s="33">
        <v>0.89629999999999999</v>
      </c>
      <c r="E19" s="31">
        <v>-12.002700000000001</v>
      </c>
      <c r="F19" s="31">
        <v>0</v>
      </c>
    </row>
    <row r="20" spans="1:6" x14ac:dyDescent="0.25">
      <c r="A20" s="4" t="s">
        <v>20</v>
      </c>
      <c r="B20" s="5" t="s">
        <v>37</v>
      </c>
      <c r="C20" s="32">
        <v>1.9771000000000001</v>
      </c>
      <c r="D20" s="32">
        <v>2.2233000000000001</v>
      </c>
      <c r="E20" s="30">
        <v>-79.002399999999994</v>
      </c>
      <c r="F20" s="30">
        <v>-5.1526999999999994</v>
      </c>
    </row>
    <row r="21" spans="1:6" x14ac:dyDescent="0.25">
      <c r="A21" s="10" t="s">
        <v>20</v>
      </c>
      <c r="B21" s="11" t="s">
        <v>39</v>
      </c>
      <c r="C21" s="33">
        <v>1.9805999999999999</v>
      </c>
      <c r="D21" s="33">
        <v>2.2269999999999999</v>
      </c>
      <c r="E21" s="31">
        <v>-79.266499999999994</v>
      </c>
      <c r="F21" s="31">
        <v>-5.1730999999999998</v>
      </c>
    </row>
    <row r="22" spans="1:6" x14ac:dyDescent="0.25">
      <c r="A22" s="4" t="s">
        <v>21</v>
      </c>
      <c r="B22" s="5" t="s">
        <v>52</v>
      </c>
      <c r="C22" s="32">
        <v>0.20519999999999999</v>
      </c>
      <c r="D22" s="32">
        <v>0.28370000000000001</v>
      </c>
      <c r="E22" s="30">
        <v>0</v>
      </c>
      <c r="F22" s="30">
        <v>0.90480000000000005</v>
      </c>
    </row>
    <row r="23" spans="1:6" x14ac:dyDescent="0.25">
      <c r="A23" s="10" t="s">
        <v>21</v>
      </c>
      <c r="B23" s="11" t="s">
        <v>46</v>
      </c>
      <c r="C23" s="33">
        <v>0.71409999999999996</v>
      </c>
      <c r="D23" s="33">
        <v>0.91920000000000002</v>
      </c>
      <c r="E23" s="31">
        <v>-9.5023999999999997</v>
      </c>
      <c r="F23" s="31">
        <v>0</v>
      </c>
    </row>
    <row r="24" spans="1:6" x14ac:dyDescent="0.25">
      <c r="A24" s="4" t="s">
        <v>21</v>
      </c>
      <c r="B24" s="5" t="s">
        <v>37</v>
      </c>
      <c r="C24" s="32">
        <v>1.6583000000000001</v>
      </c>
      <c r="D24" s="32">
        <v>2.0158</v>
      </c>
      <c r="E24" s="30">
        <v>-49.501499999999993</v>
      </c>
      <c r="F24" s="30">
        <v>-3.8086000000000002</v>
      </c>
    </row>
    <row r="25" spans="1:6" x14ac:dyDescent="0.25">
      <c r="A25" s="10" t="s">
        <v>21</v>
      </c>
      <c r="B25" s="11" t="s">
        <v>39</v>
      </c>
      <c r="C25" s="33">
        <v>1.6559999999999999</v>
      </c>
      <c r="D25" s="33">
        <v>2.0137999999999998</v>
      </c>
      <c r="E25" s="31">
        <v>-49.401800000000001</v>
      </c>
      <c r="F25" s="31">
        <v>-3.7991000000000001</v>
      </c>
    </row>
    <row r="26" spans="1:6" x14ac:dyDescent="0.25">
      <c r="A26" s="4" t="s">
        <v>22</v>
      </c>
      <c r="B26" s="5" t="s">
        <v>52</v>
      </c>
      <c r="C26" s="32">
        <v>0.1099</v>
      </c>
      <c r="D26" s="32">
        <v>0.152</v>
      </c>
      <c r="E26" s="30">
        <v>0</v>
      </c>
      <c r="F26" s="30">
        <v>0.92069999999999996</v>
      </c>
    </row>
    <row r="27" spans="1:6" x14ac:dyDescent="0.25">
      <c r="A27" s="10" t="s">
        <v>22</v>
      </c>
      <c r="B27" s="11" t="s">
        <v>46</v>
      </c>
      <c r="C27" s="33">
        <v>0.39979999999999999</v>
      </c>
      <c r="D27" s="33">
        <v>0.53949999999999998</v>
      </c>
      <c r="E27" s="31">
        <v>-11.6043</v>
      </c>
      <c r="F27" s="31">
        <v>0</v>
      </c>
    </row>
    <row r="28" spans="1:6" x14ac:dyDescent="0.25">
      <c r="A28" s="4" t="s">
        <v>22</v>
      </c>
      <c r="B28" s="5" t="s">
        <v>37</v>
      </c>
      <c r="C28" s="32">
        <v>0.83399999999999996</v>
      </c>
      <c r="D28" s="32">
        <v>1.1193</v>
      </c>
      <c r="E28" s="30">
        <v>-53.256100000000004</v>
      </c>
      <c r="F28" s="30">
        <v>-3.3046000000000002</v>
      </c>
    </row>
    <row r="29" spans="1:6" x14ac:dyDescent="0.25">
      <c r="A29" s="10" t="s">
        <v>22</v>
      </c>
      <c r="B29" s="11" t="s">
        <v>39</v>
      </c>
      <c r="C29" s="33">
        <v>0.83330000000000004</v>
      </c>
      <c r="D29" s="33">
        <v>1.1178999999999999</v>
      </c>
      <c r="E29" s="31">
        <v>-53.121699999999997</v>
      </c>
      <c r="F29" s="31">
        <v>-3.2938999999999998</v>
      </c>
    </row>
    <row r="30" spans="1:6" x14ac:dyDescent="0.25">
      <c r="A30" s="4" t="s">
        <v>23</v>
      </c>
      <c r="B30" s="5" t="s">
        <v>52</v>
      </c>
      <c r="C30" s="32">
        <v>0.6179</v>
      </c>
      <c r="D30" s="32">
        <v>0.87119999999999997</v>
      </c>
      <c r="E30" s="30">
        <v>0</v>
      </c>
      <c r="F30" s="30">
        <v>0.91200000000000003</v>
      </c>
    </row>
    <row r="31" spans="1:6" x14ac:dyDescent="0.25">
      <c r="A31" s="10" t="s">
        <v>23</v>
      </c>
      <c r="B31" s="11" t="s">
        <v>46</v>
      </c>
      <c r="C31" s="33">
        <v>2.1185999999999998</v>
      </c>
      <c r="D31" s="33">
        <v>2.9363000000000001</v>
      </c>
      <c r="E31" s="31">
        <v>-10.3582</v>
      </c>
      <c r="F31" s="31">
        <v>0</v>
      </c>
    </row>
    <row r="32" spans="1:6" x14ac:dyDescent="0.25">
      <c r="A32" s="4" t="s">
        <v>23</v>
      </c>
      <c r="B32" s="5" t="s">
        <v>37</v>
      </c>
      <c r="C32" s="32">
        <v>6.3601999999999999</v>
      </c>
      <c r="D32" s="32">
        <v>7.0975000000000001</v>
      </c>
      <c r="E32" s="30">
        <v>-65.362299999999991</v>
      </c>
      <c r="F32" s="30">
        <v>-4.8426999999999998</v>
      </c>
    </row>
    <row r="33" spans="1:6" x14ac:dyDescent="0.25">
      <c r="A33" s="10" t="s">
        <v>23</v>
      </c>
      <c r="B33" s="11" t="s">
        <v>39</v>
      </c>
      <c r="C33" s="33">
        <v>6.3433000000000002</v>
      </c>
      <c r="D33" s="33">
        <v>7.0791000000000004</v>
      </c>
      <c r="E33" s="31">
        <v>-65.018699999999995</v>
      </c>
      <c r="F33" s="31">
        <v>-4.8124000000000002</v>
      </c>
    </row>
    <row r="34" spans="1:6" x14ac:dyDescent="0.25">
      <c r="A34" s="4" t="s">
        <v>24</v>
      </c>
      <c r="B34" s="5" t="s">
        <v>52</v>
      </c>
      <c r="C34" s="32">
        <v>0.26729999999999998</v>
      </c>
      <c r="D34" s="32">
        <v>0.37859999999999999</v>
      </c>
      <c r="E34" s="30">
        <v>0</v>
      </c>
      <c r="F34" s="30">
        <v>0.91349999999999998</v>
      </c>
    </row>
    <row r="35" spans="1:6" x14ac:dyDescent="0.25">
      <c r="A35" s="10" t="s">
        <v>24</v>
      </c>
      <c r="B35" s="11" t="s">
        <v>46</v>
      </c>
      <c r="C35" s="33">
        <v>0.95599999999999996</v>
      </c>
      <c r="D35" s="33">
        <v>1.2874000000000001</v>
      </c>
      <c r="E35" s="31">
        <v>-10.5655</v>
      </c>
      <c r="F35" s="31">
        <v>0</v>
      </c>
    </row>
    <row r="36" spans="1:6" x14ac:dyDescent="0.25">
      <c r="A36" s="4" t="s">
        <v>24</v>
      </c>
      <c r="B36" s="5" t="s">
        <v>37</v>
      </c>
      <c r="C36" s="32">
        <v>2.1314000000000002</v>
      </c>
      <c r="D36" s="32">
        <v>2.5943000000000001</v>
      </c>
      <c r="E36" s="30">
        <v>-45.964500000000001</v>
      </c>
      <c r="F36" s="30">
        <v>-3.0608</v>
      </c>
    </row>
    <row r="37" spans="1:6" x14ac:dyDescent="0.25">
      <c r="A37" s="10" t="s">
        <v>24</v>
      </c>
      <c r="B37" s="11" t="s">
        <v>39</v>
      </c>
      <c r="C37" s="33">
        <v>2.1248</v>
      </c>
      <c r="D37" s="33">
        <v>2.5840000000000001</v>
      </c>
      <c r="E37" s="31">
        <v>-45.593699999999998</v>
      </c>
      <c r="F37" s="31">
        <v>-3.0287000000000002</v>
      </c>
    </row>
    <row r="38" spans="1:6" x14ac:dyDescent="0.25">
      <c r="A38" s="4" t="s">
        <v>25</v>
      </c>
      <c r="B38" s="5" t="s">
        <v>52</v>
      </c>
      <c r="C38" s="32">
        <v>0.13020000000000001</v>
      </c>
      <c r="D38" s="32">
        <v>0.19470000000000001</v>
      </c>
      <c r="E38" s="30">
        <v>0</v>
      </c>
      <c r="F38" s="30">
        <v>0.93930000000000002</v>
      </c>
    </row>
    <row r="39" spans="1:6" x14ac:dyDescent="0.25">
      <c r="A39" s="10" t="s">
        <v>25</v>
      </c>
      <c r="B39" s="11" t="s">
        <v>46</v>
      </c>
      <c r="C39" s="33">
        <v>0.5464</v>
      </c>
      <c r="D39" s="33">
        <v>0.7903</v>
      </c>
      <c r="E39" s="31">
        <v>-15.479100000000001</v>
      </c>
      <c r="F39" s="31">
        <v>0</v>
      </c>
    </row>
    <row r="40" spans="1:6" x14ac:dyDescent="0.25">
      <c r="A40" s="4" t="s">
        <v>25</v>
      </c>
      <c r="B40" s="5" t="s">
        <v>37</v>
      </c>
      <c r="C40" s="32">
        <v>1.0764</v>
      </c>
      <c r="D40" s="32">
        <v>1.3213999999999999</v>
      </c>
      <c r="E40" s="30">
        <v>-45.072399999999988</v>
      </c>
      <c r="F40" s="30">
        <v>-1.7958000000000001</v>
      </c>
    </row>
    <row r="41" spans="1:6" x14ac:dyDescent="0.25">
      <c r="A41" s="10" t="s">
        <v>25</v>
      </c>
      <c r="B41" s="11" t="s">
        <v>39</v>
      </c>
      <c r="C41" s="33">
        <v>1.0765</v>
      </c>
      <c r="D41" s="33">
        <v>1.3224</v>
      </c>
      <c r="E41" s="31">
        <v>-45.141300000000001</v>
      </c>
      <c r="F41" s="31">
        <v>-1.8</v>
      </c>
    </row>
  </sheetData>
  <autoFilter ref="A1:F4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42" customWidth="1"/>
    <col min="3" max="5" width="10" customWidth="1"/>
    <col min="6" max="6" width="12" customWidth="1"/>
  </cols>
  <sheetData>
    <row r="1" spans="1:6" ht="32.1" customHeight="1" x14ac:dyDescent="0.25">
      <c r="A1" s="3" t="s">
        <v>3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</row>
    <row r="2" spans="1:6" x14ac:dyDescent="0.25">
      <c r="A2" s="4" t="s">
        <v>11</v>
      </c>
      <c r="B2" s="5" t="s">
        <v>58</v>
      </c>
      <c r="C2" s="34">
        <v>184</v>
      </c>
      <c r="D2" s="34">
        <v>187</v>
      </c>
      <c r="E2" s="35">
        <v>0.91731880917239794</v>
      </c>
      <c r="F2" s="20" t="str">
        <f t="shared" ref="F2:F21" si="0">IF(E2&lt;0.05,"Sim","Não")</f>
        <v>Não</v>
      </c>
    </row>
    <row r="3" spans="1:6" x14ac:dyDescent="0.25">
      <c r="A3" s="10" t="s">
        <v>11</v>
      </c>
      <c r="B3" s="11" t="s">
        <v>59</v>
      </c>
      <c r="C3" s="36">
        <v>2</v>
      </c>
      <c r="D3" s="36">
        <v>2</v>
      </c>
      <c r="E3" s="37">
        <v>1</v>
      </c>
      <c r="F3" s="26" t="str">
        <f t="shared" si="0"/>
        <v>Não</v>
      </c>
    </row>
    <row r="4" spans="1:6" x14ac:dyDescent="0.25">
      <c r="A4" s="4" t="s">
        <v>15</v>
      </c>
      <c r="B4" s="5" t="s">
        <v>58</v>
      </c>
      <c r="C4" s="34">
        <v>148</v>
      </c>
      <c r="D4" s="34">
        <v>141</v>
      </c>
      <c r="E4" s="35">
        <v>0.7241997172686474</v>
      </c>
      <c r="F4" s="20" t="str">
        <f t="shared" si="0"/>
        <v>Não</v>
      </c>
    </row>
    <row r="5" spans="1:6" x14ac:dyDescent="0.25">
      <c r="A5" s="10" t="s">
        <v>15</v>
      </c>
      <c r="B5" s="11" t="s">
        <v>59</v>
      </c>
      <c r="C5" s="36">
        <v>0</v>
      </c>
      <c r="D5" s="36">
        <v>0</v>
      </c>
      <c r="E5" s="37">
        <v>1</v>
      </c>
      <c r="F5" s="26" t="str">
        <f t="shared" si="0"/>
        <v>Não</v>
      </c>
    </row>
    <row r="6" spans="1:6" x14ac:dyDescent="0.25">
      <c r="A6" s="4" t="s">
        <v>18</v>
      </c>
      <c r="B6" s="5" t="s">
        <v>58</v>
      </c>
      <c r="C6" s="34">
        <v>79</v>
      </c>
      <c r="D6" s="34">
        <v>103</v>
      </c>
      <c r="E6" s="35">
        <v>8.7940011404458715E-2</v>
      </c>
      <c r="F6" s="20" t="str">
        <f t="shared" si="0"/>
        <v>Não</v>
      </c>
    </row>
    <row r="7" spans="1:6" x14ac:dyDescent="0.25">
      <c r="A7" s="10" t="s">
        <v>18</v>
      </c>
      <c r="B7" s="11" t="s">
        <v>59</v>
      </c>
      <c r="C7" s="36">
        <v>1</v>
      </c>
      <c r="D7" s="36">
        <v>0</v>
      </c>
      <c r="E7" s="37">
        <v>1</v>
      </c>
      <c r="F7" s="26" t="str">
        <f t="shared" si="0"/>
        <v>Não</v>
      </c>
    </row>
    <row r="8" spans="1:6" x14ac:dyDescent="0.25">
      <c r="A8" s="4" t="s">
        <v>19</v>
      </c>
      <c r="B8" s="5" t="s">
        <v>58</v>
      </c>
      <c r="C8" s="34">
        <v>143</v>
      </c>
      <c r="D8" s="34">
        <v>139</v>
      </c>
      <c r="E8" s="35">
        <v>0.85825491538995002</v>
      </c>
      <c r="F8" s="20" t="str">
        <f t="shared" si="0"/>
        <v>Não</v>
      </c>
    </row>
    <row r="9" spans="1:6" x14ac:dyDescent="0.25">
      <c r="A9" s="10" t="s">
        <v>19</v>
      </c>
      <c r="B9" s="11" t="s">
        <v>59</v>
      </c>
      <c r="C9" s="36">
        <v>1</v>
      </c>
      <c r="D9" s="36">
        <v>1</v>
      </c>
      <c r="E9" s="37">
        <v>1</v>
      </c>
      <c r="F9" s="26" t="str">
        <f t="shared" si="0"/>
        <v>Não</v>
      </c>
    </row>
    <row r="10" spans="1:6" x14ac:dyDescent="0.25">
      <c r="A10" s="4" t="s">
        <v>20</v>
      </c>
      <c r="B10" s="5" t="s">
        <v>58</v>
      </c>
      <c r="C10" s="34">
        <v>116</v>
      </c>
      <c r="D10" s="34">
        <v>143</v>
      </c>
      <c r="E10" s="35">
        <v>0.1060080504974243</v>
      </c>
      <c r="F10" s="20" t="str">
        <f t="shared" si="0"/>
        <v>Não</v>
      </c>
    </row>
    <row r="11" spans="1:6" x14ac:dyDescent="0.25">
      <c r="A11" s="10" t="s">
        <v>20</v>
      </c>
      <c r="B11" s="11" t="s">
        <v>59</v>
      </c>
      <c r="C11" s="36">
        <v>0</v>
      </c>
      <c r="D11" s="36">
        <v>2</v>
      </c>
      <c r="E11" s="37">
        <v>0.5</v>
      </c>
      <c r="F11" s="26" t="str">
        <f t="shared" si="0"/>
        <v>Não</v>
      </c>
    </row>
    <row r="12" spans="1:6" x14ac:dyDescent="0.25">
      <c r="A12" s="4" t="s">
        <v>21</v>
      </c>
      <c r="B12" s="5" t="s">
        <v>58</v>
      </c>
      <c r="C12" s="34">
        <v>117</v>
      </c>
      <c r="D12" s="34">
        <v>137</v>
      </c>
      <c r="E12" s="35">
        <v>0.233132189684118</v>
      </c>
      <c r="F12" s="20" t="str">
        <f t="shared" si="0"/>
        <v>Não</v>
      </c>
    </row>
    <row r="13" spans="1:6" x14ac:dyDescent="0.25">
      <c r="A13" s="10" t="s">
        <v>21</v>
      </c>
      <c r="B13" s="11" t="s">
        <v>59</v>
      </c>
      <c r="C13" s="36">
        <v>1</v>
      </c>
      <c r="D13" s="36">
        <v>1</v>
      </c>
      <c r="E13" s="37">
        <v>1</v>
      </c>
      <c r="F13" s="26" t="str">
        <f t="shared" si="0"/>
        <v>Não</v>
      </c>
    </row>
    <row r="14" spans="1:6" x14ac:dyDescent="0.25">
      <c r="A14" s="4" t="s">
        <v>22</v>
      </c>
      <c r="B14" s="5" t="s">
        <v>58</v>
      </c>
      <c r="C14" s="34">
        <v>132</v>
      </c>
      <c r="D14" s="34">
        <v>135</v>
      </c>
      <c r="E14" s="35">
        <v>0.90261377408032151</v>
      </c>
      <c r="F14" s="20" t="str">
        <f t="shared" si="0"/>
        <v>Não</v>
      </c>
    </row>
    <row r="15" spans="1:6" x14ac:dyDescent="0.25">
      <c r="A15" s="10" t="s">
        <v>22</v>
      </c>
      <c r="B15" s="11" t="s">
        <v>59</v>
      </c>
      <c r="C15" s="36">
        <v>2</v>
      </c>
      <c r="D15" s="36">
        <v>1</v>
      </c>
      <c r="E15" s="37">
        <v>1</v>
      </c>
      <c r="F15" s="26" t="str">
        <f t="shared" si="0"/>
        <v>Não</v>
      </c>
    </row>
    <row r="16" spans="1:6" x14ac:dyDescent="0.25">
      <c r="A16" s="4" t="s">
        <v>23</v>
      </c>
      <c r="B16" s="5" t="s">
        <v>58</v>
      </c>
      <c r="C16" s="34">
        <v>134</v>
      </c>
      <c r="D16" s="34">
        <v>167</v>
      </c>
      <c r="E16" s="35">
        <v>6.4938801926568715E-2</v>
      </c>
      <c r="F16" s="20" t="str">
        <f t="shared" si="0"/>
        <v>Não</v>
      </c>
    </row>
    <row r="17" spans="1:6" x14ac:dyDescent="0.25">
      <c r="A17" s="10" t="s">
        <v>23</v>
      </c>
      <c r="B17" s="11" t="s">
        <v>59</v>
      </c>
      <c r="C17" s="36">
        <v>1</v>
      </c>
      <c r="D17" s="36">
        <v>0</v>
      </c>
      <c r="E17" s="37">
        <v>1</v>
      </c>
      <c r="F17" s="26" t="str">
        <f t="shared" si="0"/>
        <v>Não</v>
      </c>
    </row>
    <row r="18" spans="1:6" x14ac:dyDescent="0.25">
      <c r="A18" s="4" t="s">
        <v>24</v>
      </c>
      <c r="B18" s="5" t="s">
        <v>58</v>
      </c>
      <c r="C18" s="34">
        <v>84</v>
      </c>
      <c r="D18" s="34">
        <v>82</v>
      </c>
      <c r="E18" s="35">
        <v>0.9381653419480136</v>
      </c>
      <c r="F18" s="20" t="str">
        <f t="shared" si="0"/>
        <v>Não</v>
      </c>
    </row>
    <row r="19" spans="1:6" x14ac:dyDescent="0.25">
      <c r="A19" s="10" t="s">
        <v>24</v>
      </c>
      <c r="B19" s="11" t="s">
        <v>59</v>
      </c>
      <c r="C19" s="36">
        <v>0</v>
      </c>
      <c r="D19" s="36">
        <v>1</v>
      </c>
      <c r="E19" s="37">
        <v>1</v>
      </c>
      <c r="F19" s="26" t="str">
        <f t="shared" si="0"/>
        <v>Não</v>
      </c>
    </row>
    <row r="20" spans="1:6" x14ac:dyDescent="0.25">
      <c r="A20" s="4" t="s">
        <v>25</v>
      </c>
      <c r="B20" s="5" t="s">
        <v>58</v>
      </c>
      <c r="C20" s="34">
        <v>120</v>
      </c>
      <c r="D20" s="34">
        <v>138</v>
      </c>
      <c r="E20" s="35">
        <v>0.28986710308621599</v>
      </c>
      <c r="F20" s="20" t="str">
        <f t="shared" si="0"/>
        <v>Não</v>
      </c>
    </row>
    <row r="21" spans="1:6" x14ac:dyDescent="0.25">
      <c r="A21" s="10" t="s">
        <v>25</v>
      </c>
      <c r="B21" s="11" t="s">
        <v>59</v>
      </c>
      <c r="C21" s="36">
        <v>0</v>
      </c>
      <c r="D21" s="36">
        <v>0</v>
      </c>
      <c r="E21" s="37">
        <v>1</v>
      </c>
      <c r="F21" s="26" t="str">
        <f t="shared" si="0"/>
        <v>Não</v>
      </c>
    </row>
  </sheetData>
  <autoFilter ref="A1:F2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3"/>
  <sheetViews>
    <sheetView workbookViewId="0"/>
  </sheetViews>
  <sheetFormatPr defaultRowHeight="15" x14ac:dyDescent="0.25"/>
  <cols>
    <col min="1" max="1" width="112" customWidth="1"/>
  </cols>
  <sheetData>
    <row r="1" spans="1:1" x14ac:dyDescent="0.25">
      <c r="A1" s="38" t="s">
        <v>60</v>
      </c>
    </row>
    <row r="2" spans="1:1" ht="62.1" customHeight="1" x14ac:dyDescent="0.25">
      <c r="A2" s="39" t="s">
        <v>61</v>
      </c>
    </row>
    <row r="4" spans="1:1" x14ac:dyDescent="0.25">
      <c r="A4" s="38" t="s">
        <v>62</v>
      </c>
    </row>
    <row r="5" spans="1:1" ht="62.1" customHeight="1" x14ac:dyDescent="0.25">
      <c r="A5" s="39" t="s">
        <v>63</v>
      </c>
    </row>
    <row r="7" spans="1:1" x14ac:dyDescent="0.25">
      <c r="A7" s="38" t="s">
        <v>64</v>
      </c>
    </row>
    <row r="8" spans="1:1" ht="62.1" customHeight="1" x14ac:dyDescent="0.25">
      <c r="A8" s="39" t="s">
        <v>65</v>
      </c>
    </row>
    <row r="10" spans="1:1" x14ac:dyDescent="0.25">
      <c r="A10" s="38" t="s">
        <v>66</v>
      </c>
    </row>
    <row r="11" spans="1:1" ht="62.1" customHeight="1" x14ac:dyDescent="0.25">
      <c r="A11" s="39" t="s">
        <v>67</v>
      </c>
    </row>
    <row r="13" spans="1:1" x14ac:dyDescent="0.25">
      <c r="A13" s="38" t="s">
        <v>68</v>
      </c>
    </row>
    <row r="14" spans="1:1" ht="62.1" customHeight="1" x14ac:dyDescent="0.25">
      <c r="A14" s="39" t="s">
        <v>69</v>
      </c>
    </row>
    <row r="16" spans="1:1" x14ac:dyDescent="0.25">
      <c r="A16" s="38" t="s">
        <v>70</v>
      </c>
    </row>
    <row r="17" spans="1:1" ht="62.1" customHeight="1" x14ac:dyDescent="0.25">
      <c r="A17" s="39" t="s">
        <v>71</v>
      </c>
    </row>
    <row r="19" spans="1:1" x14ac:dyDescent="0.25">
      <c r="A19" s="38" t="s">
        <v>72</v>
      </c>
    </row>
    <row r="20" spans="1:1" ht="62.1" customHeight="1" x14ac:dyDescent="0.25">
      <c r="A20" s="39" t="s">
        <v>73</v>
      </c>
    </row>
    <row r="22" spans="1:1" x14ac:dyDescent="0.25">
      <c r="A22" s="38" t="s">
        <v>74</v>
      </c>
    </row>
    <row r="23" spans="1:1" ht="62.1" customHeight="1" x14ac:dyDescent="0.25">
      <c r="A23" s="39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</vt:lpstr>
      <vt:lpstr>Direção</vt:lpstr>
      <vt:lpstr>Volatilidade</vt:lpstr>
      <vt:lpstr>Preço</vt:lpstr>
      <vt:lpstr>McNemar</vt:lpstr>
      <vt:lpstr>Notas e 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Vanderlei Barbosa da Silva</cp:lastModifiedBy>
  <dcterms:created xsi:type="dcterms:W3CDTF">2026-10-18T14:59:14Z</dcterms:created>
  <dcterms:modified xsi:type="dcterms:W3CDTF">2026-10-18T14:59:31Z</dcterms:modified>
</cp:coreProperties>
</file>
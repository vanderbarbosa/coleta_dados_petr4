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estrado\coleta_dados_petr4\Mentorias\2026-09-16_Emerson_e_Julio\"/>
    </mc:Choice>
  </mc:AlternateContent>
  <xr:revisionPtr revIDLastSave="0" documentId="13_ncr:1_{557496A6-D398-440A-AD31-982190A9DC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 (62 papéis)" sheetId="1" r:id="rId1"/>
    <sheet name="PETR4 - Série Histórica" sheetId="2" r:id="rId2"/>
    <sheet name="Todos os papéis" sheetId="3" r:id="rId3"/>
  </sheets>
  <definedNames>
    <definedName name="_xlnm._FilterDatabase" localSheetId="1" hidden="1">'PETR4 - Série Histórica'!$A$1:$L$10</definedName>
    <definedName name="_xlnm._FilterDatabase" localSheetId="0" hidden="1">'Resumo (62 papéis)'!$A$1:$L$63</definedName>
    <definedName name="_xlnm._FilterDatabase" localSheetId="2" hidden="1">'Todos os papéis'!$A$1:$L$676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6" i="3" l="1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0" i="2"/>
  <c r="L9" i="2"/>
  <c r="L8" i="2"/>
  <c r="L7" i="2"/>
  <c r="L6" i="2"/>
  <c r="L5" i="2"/>
  <c r="L4" i="2"/>
  <c r="L3" i="2"/>
  <c r="L2" i="2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<sst xmlns="http://schemas.openxmlformats.org/spreadsheetml/2006/main" count="2289" uniqueCount="446">
  <si>
    <t>Ticker</t>
  </si>
  <si>
    <t>Empresa</t>
  </si>
  <si>
    <t>Data da
assembleia</t>
  </si>
  <si>
    <t>Acionistas
pessoa física</t>
  </si>
  <si>
    <t>Acionistas
pessoa jurídica</t>
  </si>
  <si>
    <t>Acionistas
institucionais</t>
  </si>
  <si>
    <t>Acionistas
(total)</t>
  </si>
  <si>
    <t>Ações ON
em circulação</t>
  </si>
  <si>
    <t>Ações PN
em circulação</t>
  </si>
  <si>
    <t>Ações totais
em circulação</t>
  </si>
  <si>
    <t>% em
circulação</t>
  </si>
  <si>
    <t>Ações por
acionista</t>
  </si>
  <si>
    <t>BBAS3</t>
  </si>
  <si>
    <t>BCO BRASIL S.A.</t>
  </si>
  <si>
    <t>2026-04-29</t>
  </si>
  <si>
    <t>PETR4</t>
  </si>
  <si>
    <t>PETROLEO BRASILEIRO S.A. PETROBRAS</t>
  </si>
  <si>
    <t>2026-04-16</t>
  </si>
  <si>
    <t>ITSA4</t>
  </si>
  <si>
    <t>ITAÚSA S.A.</t>
  </si>
  <si>
    <t>2026-04-30</t>
  </si>
  <si>
    <t>BBDC4</t>
  </si>
  <si>
    <t>BCO BRADESCO S.A.</t>
  </si>
  <si>
    <t>2026-05-08</t>
  </si>
  <si>
    <t>VALE3</t>
  </si>
  <si>
    <t>VALE S.A.</t>
  </si>
  <si>
    <t>ITUB4</t>
  </si>
  <si>
    <t>ITAU UNIBANCO HOLDING S.A.</t>
  </si>
  <si>
    <t>2026-05-19</t>
  </si>
  <si>
    <t>KLBN11</t>
  </si>
  <si>
    <t>KLABIN S.A.</t>
  </si>
  <si>
    <t>2026-04-07</t>
  </si>
  <si>
    <t>BBSE3</t>
  </si>
  <si>
    <t>BB SEGURIDADE PARTICIPAÇÕES S.A.</t>
  </si>
  <si>
    <t>SANB11</t>
  </si>
  <si>
    <t>BCO SANTANDER (BRASIL) S.A.</t>
  </si>
  <si>
    <t>2026-01-15</t>
  </si>
  <si>
    <t>MGLU3</t>
  </si>
  <si>
    <t>MAGAZINE LUIZA S.A.</t>
  </si>
  <si>
    <t>B3SA3</t>
  </si>
  <si>
    <t>B3 S.A. - BRASIL, BOLSA, BALCÃO</t>
  </si>
  <si>
    <t>ELET3</t>
  </si>
  <si>
    <t>AXIA ENERGIA S.A.</t>
  </si>
  <si>
    <t>2026-08-28</t>
  </si>
  <si>
    <t>VIVT3</t>
  </si>
  <si>
    <t>TELEFÔNICA BRASIL S.A</t>
  </si>
  <si>
    <t>EGIE3</t>
  </si>
  <si>
    <t>ENGIE BRASIL ENERGIA S.A.</t>
  </si>
  <si>
    <t>2026-04-24</t>
  </si>
  <si>
    <t>GGBR4</t>
  </si>
  <si>
    <t>GERDAU S.A.</t>
  </si>
  <si>
    <t>2026-04-15</t>
  </si>
  <si>
    <t>ABEV3</t>
  </si>
  <si>
    <t>AMBEV S.A.</t>
  </si>
  <si>
    <t>2026-08-13</t>
  </si>
  <si>
    <t>GOAU4</t>
  </si>
  <si>
    <t>METALURGICA GERDAU S.A.</t>
  </si>
  <si>
    <t>2026-04-17</t>
  </si>
  <si>
    <t>PRIO3</t>
  </si>
  <si>
    <t>PRIO S.A.</t>
  </si>
  <si>
    <t>CSAN3</t>
  </si>
  <si>
    <t>COSAN S.A.</t>
  </si>
  <si>
    <t>PSSA3</t>
  </si>
  <si>
    <t>PORTO SEGURO S.A.</t>
  </si>
  <si>
    <t>2026-03-31</t>
  </si>
  <si>
    <t>COGN3</t>
  </si>
  <si>
    <t>COGNA EDUCAÇÃO S.A.</t>
  </si>
  <si>
    <t>BPAC11</t>
  </si>
  <si>
    <t>BCO BTG PACTUAL S.A.</t>
  </si>
  <si>
    <t>ALOS3</t>
  </si>
  <si>
    <t>ALLOS S.A.</t>
  </si>
  <si>
    <t>2026-05-14</t>
  </si>
  <si>
    <t>USIM5</t>
  </si>
  <si>
    <t>USINAS SID DE MINAS GERAIS S.A.-USIMINAS</t>
  </si>
  <si>
    <t>2026-04-23</t>
  </si>
  <si>
    <t>CPFE3</t>
  </si>
  <si>
    <t>CPFL ENERGIA S.A.</t>
  </si>
  <si>
    <t>CVCB3</t>
  </si>
  <si>
    <t>CVC BRASIL OPERADORA E AGÊNCIA DE VIAGENS S.A.</t>
  </si>
  <si>
    <t>2026-05-05</t>
  </si>
  <si>
    <t>LREN3</t>
  </si>
  <si>
    <t>LOJAS RENNER S.A.</t>
  </si>
  <si>
    <t>MRFG3</t>
  </si>
  <si>
    <t>MARFRIG GLOBAL FOODS S.A.</t>
  </si>
  <si>
    <t>TIMS3</t>
  </si>
  <si>
    <t>TIM S.A.</t>
  </si>
  <si>
    <t>EMBR3</t>
  </si>
  <si>
    <t>EMBRAER S.A.</t>
  </si>
  <si>
    <t>2026-05-06</t>
  </si>
  <si>
    <t>GOLL4</t>
  </si>
  <si>
    <t>GOL LINHAS AEREAS INTELIGENTES S.A.</t>
  </si>
  <si>
    <t>2026-02-23</t>
  </si>
  <si>
    <t>SUZB3</t>
  </si>
  <si>
    <t>SUZANO S.A.</t>
  </si>
  <si>
    <t>2026-08-19</t>
  </si>
  <si>
    <t>CSNA3</t>
  </si>
  <si>
    <t>CIA SIDERURGICA NACIONAL</t>
  </si>
  <si>
    <t>EQTL3</t>
  </si>
  <si>
    <t>EQUATORIAL S.A.</t>
  </si>
  <si>
    <t>CYRE3</t>
  </si>
  <si>
    <t>CYRELA BRAZIL REALTY S.A.EMPREEND E PART</t>
  </si>
  <si>
    <t>SLCE3</t>
  </si>
  <si>
    <t>SLC AGRICOLA S.A.</t>
  </si>
  <si>
    <t>2026-04-28</t>
  </si>
  <si>
    <t>BRAV3</t>
  </si>
  <si>
    <t>BRAVA ENERGIA S.A.</t>
  </si>
  <si>
    <t>2026-04-20</t>
  </si>
  <si>
    <t>BEEF3</t>
  </si>
  <si>
    <t>MINERVA S.A.</t>
  </si>
  <si>
    <t>RADL3</t>
  </si>
  <si>
    <t>RAIA DROGASIL S.A.</t>
  </si>
  <si>
    <t>SBSP3</t>
  </si>
  <si>
    <t>CIA SANEAMENTO BASICO EST SAO PAULO</t>
  </si>
  <si>
    <t>RDOR3</t>
  </si>
  <si>
    <t>REDE D'OR SÃO LUIZ S.A.</t>
  </si>
  <si>
    <t>2026-07-13</t>
  </si>
  <si>
    <t>VBBR3</t>
  </si>
  <si>
    <t>VIBRA ENERGIA S/A</t>
  </si>
  <si>
    <t>BRKM5</t>
  </si>
  <si>
    <t>BRASKEM S.A.</t>
  </si>
  <si>
    <t>2026-06-08</t>
  </si>
  <si>
    <t>NTCO3</t>
  </si>
  <si>
    <t>NATURA COSMÉTICOS S.A.</t>
  </si>
  <si>
    <t>TOTS3</t>
  </si>
  <si>
    <t>TOTVS S.A.</t>
  </si>
  <si>
    <t>ASAI3</t>
  </si>
  <si>
    <t>SENDAS DISTRIBUIDORA S.A.</t>
  </si>
  <si>
    <t>HYPE3</t>
  </si>
  <si>
    <t>HYPERA S.A.</t>
  </si>
  <si>
    <t>2026-04-27</t>
  </si>
  <si>
    <t>LWSA3</t>
  </si>
  <si>
    <t>LWSA S/A</t>
  </si>
  <si>
    <t>HAPV3</t>
  </si>
  <si>
    <t>HAPVIDA PARTICIPAÇÕES E INVESTIMENTOS S.A.</t>
  </si>
  <si>
    <t>RAIL3</t>
  </si>
  <si>
    <t>RUMO S.A.</t>
  </si>
  <si>
    <t>UGPA3</t>
  </si>
  <si>
    <t>ULTRAPAR PARTICIPACOES S.A.</t>
  </si>
  <si>
    <t>SMTO3</t>
  </si>
  <si>
    <t>SAO MARTINHO S.A.</t>
  </si>
  <si>
    <t>2025-07-25</t>
  </si>
  <si>
    <t>CCRO3</t>
  </si>
  <si>
    <t>MOTIVA INFRAESTRUTURA DE MOBILIDADE S.A.</t>
  </si>
  <si>
    <t>LIGT3</t>
  </si>
  <si>
    <t>LIGHT S.A. - EM RECUPERAÇÃO JUDICIAL</t>
  </si>
  <si>
    <t>2026-08-20</t>
  </si>
  <si>
    <t>MULT3</t>
  </si>
  <si>
    <t>MULTIPLAN - EMPREEND IMOBILIARIOS S.A.</t>
  </si>
  <si>
    <t>2026-03-27</t>
  </si>
  <si>
    <t>YDUQ3</t>
  </si>
  <si>
    <t>YDUQS PARTICIPACOES S.A.</t>
  </si>
  <si>
    <t>AZUL4</t>
  </si>
  <si>
    <t>AZUL S.A.</t>
  </si>
  <si>
    <t>ENGI11</t>
  </si>
  <si>
    <t>ENERGISA SUL-SUDESTE - DISTRIBUIDORA DE ENERGIA S/A</t>
  </si>
  <si>
    <t>BRFS3</t>
  </si>
  <si>
    <t>BRF S.A.</t>
  </si>
  <si>
    <t>2025-09-26</t>
  </si>
  <si>
    <t>RENT3</t>
  </si>
  <si>
    <t>LOCALIZA FLEET S.A.</t>
  </si>
  <si>
    <t>2026-03-17</t>
  </si>
  <si>
    <t>OIBR3</t>
  </si>
  <si>
    <t>CONCESSIONÁRIA PONTE RIO-NITERÓI S.A. - ECOPONTE</t>
  </si>
  <si>
    <t>IGTI11</t>
  </si>
  <si>
    <t>IGUATEMI EMPRESA DE SHOPPING CENTERS S.A</t>
  </si>
  <si>
    <t>2025-04-17</t>
  </si>
  <si>
    <t>Fonte: dados.cvm.gov.br — Formulário de Referência (FRE), arquivo fre_cia_aberta_distribuicao_capital — item 6.3, declarado por cada companhia na data da última assembleia. Coletado em 01/10/2026 por CVM/21_coletar_distribuicao_capital.py.</t>
  </si>
  <si>
    <t>Limitação da própria norma, não desta coleta: a CVM separa as AÇÕES por classe (ON × PN), mas não separa a CONTAGEM DE ACIONISTAS por classe — o total de acionistas é da empresa inteira, não só de quem tem PETR4.</t>
  </si>
  <si>
    <t>Periodicidade: por assembleia (normalmente 1x por ano), não por pregão.</t>
  </si>
  <si>
    <t>Correção de 15/10/2026: a versão anterior desta planilha mostrava 'Data_Referencia' (31/12 de cada ano) como se fosse a data da contagem — não é; é só o rótulo do exercício fiscal do formulário, mesmo enviado meses antes. A coluna abaixo já usa a data real da assembleia (Data_Ultima_Assembleia).</t>
  </si>
  <si>
    <t>Duas anomalias no PRÓPRIO dado da CVM, só na aba 'Todos os papéis' (histórico completo) — não corrigidas por nós, não inventamos valor: (1) ASAI3 (Assaí), SÓ no envio do exercício 2024 (assembleia de 25/04/2025), traz Quantidade_Acionistas_PJ = 6.265.129 — maior que o total de ações da empresa, logo impossível; já corrigido pela própria empresa no envio seguinte. (2) CYRE3 (Cyrela), uma linha de exercício antigo com 'Data da assembleia' = 2026-12-31, no futuro — erro de digitação da própria companhia. Em AMBOS os casos, a LEITURA MAIS RECENTE de cada papel (a usada na aba Resumo e em toda a planilha 18) está correta — as anomalias são só de anos passados, na lista completa.</t>
  </si>
  <si>
    <t>2019-01-31</t>
  </si>
  <si>
    <t>2019-09-30</t>
  </si>
  <si>
    <t>2020-07-22</t>
  </si>
  <si>
    <t>2021-11-30</t>
  </si>
  <si>
    <t>2022-11-30</t>
  </si>
  <si>
    <t>2023-04-27</t>
  </si>
  <si>
    <t>2024-04-25</t>
  </si>
  <si>
    <t>2025-04-16</t>
  </si>
  <si>
    <t>2019-03-25</t>
  </si>
  <si>
    <t>2021-03-29</t>
  </si>
  <si>
    <t>2022-03-30</t>
  </si>
  <si>
    <t>2023-04-28</t>
  </si>
  <si>
    <t>2024-04-30</t>
  </si>
  <si>
    <t>2025-04-29</t>
  </si>
  <si>
    <t>2019-04-01</t>
  </si>
  <si>
    <t>2019-10-23</t>
  </si>
  <si>
    <t>2020-04-30</t>
  </si>
  <si>
    <t>2021-04-28</t>
  </si>
  <si>
    <t>2023-03-21</t>
  </si>
  <si>
    <t>2023-05-23</t>
  </si>
  <si>
    <t>2025-05-16</t>
  </si>
  <si>
    <t>2021-08-11</t>
  </si>
  <si>
    <t>2022-12-12</t>
  </si>
  <si>
    <t>2023-07-14</t>
  </si>
  <si>
    <t>2025-04-25</t>
  </si>
  <si>
    <t>2019-04-26</t>
  </si>
  <si>
    <t>2020-04-29</t>
  </si>
  <si>
    <t>2020-08-10</t>
  </si>
  <si>
    <t>2021-04-29</t>
  </si>
  <si>
    <t>2022-04-28</t>
  </si>
  <si>
    <t>2024-05-15</t>
  </si>
  <si>
    <t>2025-02-25</t>
  </si>
  <si>
    <t>2018-04-23</t>
  </si>
  <si>
    <t>2019-04-29</t>
  </si>
  <si>
    <t>2021-05-10</t>
  </si>
  <si>
    <t>2021-12-09</t>
  </si>
  <si>
    <t>2023-06-01</t>
  </si>
  <si>
    <t>2025-04-24</t>
  </si>
  <si>
    <t>2018-06-06</t>
  </si>
  <si>
    <t>2020-07-30</t>
  </si>
  <si>
    <t>2022-04-27</t>
  </si>
  <si>
    <t>2024-04-15</t>
  </si>
  <si>
    <t>2024-04-26</t>
  </si>
  <si>
    <t>2025-04-30</t>
  </si>
  <si>
    <t>2019-04-03</t>
  </si>
  <si>
    <t>2020-04-16</t>
  </si>
  <si>
    <t>2021-04-23</t>
  </si>
  <si>
    <t>2022-04-25</t>
  </si>
  <si>
    <t>2022-12-27</t>
  </si>
  <si>
    <t>2024-02-22</t>
  </si>
  <si>
    <t>2025-02-24</t>
  </si>
  <si>
    <t>2026-02-24</t>
  </si>
  <si>
    <t>2018-04-20</t>
  </si>
  <si>
    <t>2019-04-24</t>
  </si>
  <si>
    <t>2020-04-22</t>
  </si>
  <si>
    <t>2022-04-29</t>
  </si>
  <si>
    <t>2018-04-26</t>
  </si>
  <si>
    <t>2019-05-10</t>
  </si>
  <si>
    <t>2020-03-20</t>
  </si>
  <si>
    <t>2021-04-12</t>
  </si>
  <si>
    <t>2023-04-18</t>
  </si>
  <si>
    <t>2024-04-29</t>
  </si>
  <si>
    <t>2017-04-28</t>
  </si>
  <si>
    <t>2020-04-03</t>
  </si>
  <si>
    <t>2020-08-26</t>
  </si>
  <si>
    <t>2021-04-09</t>
  </si>
  <si>
    <t>2020-12-11</t>
  </si>
  <si>
    <t>2022-09-05</t>
  </si>
  <si>
    <t>2024-12-30</t>
  </si>
  <si>
    <t>2020-04-27</t>
  </si>
  <si>
    <t>2022-01-17</t>
  </si>
  <si>
    <t>2022-03-28</t>
  </si>
  <si>
    <t>2023-04-12</t>
  </si>
  <si>
    <t>2025-03-31</t>
  </si>
  <si>
    <t>2025-09-22</t>
  </si>
  <si>
    <t>2018-10-16</t>
  </si>
  <si>
    <t>2019-04-16</t>
  </si>
  <si>
    <t>2020-05-29</t>
  </si>
  <si>
    <t>2021-11-18</t>
  </si>
  <si>
    <t>2022-04-19</t>
  </si>
  <si>
    <t>2025-04-28</t>
  </si>
  <si>
    <t>2018-04-16</t>
  </si>
  <si>
    <t>2019-04-22</t>
  </si>
  <si>
    <t>2020-04-09</t>
  </si>
  <si>
    <t>2021-04-08</t>
  </si>
  <si>
    <t>2023-04-19</t>
  </si>
  <si>
    <t>2024-04-18</t>
  </si>
  <si>
    <t>2018-04-27</t>
  </si>
  <si>
    <t>2020-02-11</t>
  </si>
  <si>
    <t>2021-04-30</t>
  </si>
  <si>
    <t>CPFL ENERGIAS RENOVÁVEIS S.A.</t>
  </si>
  <si>
    <t>2018-11-26</t>
  </si>
  <si>
    <t>2019-04-30</t>
  </si>
  <si>
    <t>2019-10-04</t>
  </si>
  <si>
    <t>2020-06-30</t>
  </si>
  <si>
    <t>2020-07-07</t>
  </si>
  <si>
    <t>2023-04-26</t>
  </si>
  <si>
    <t>2026-05-27</t>
  </si>
  <si>
    <t>COSAN LIMITED</t>
  </si>
  <si>
    <t>COSAN LOGISTICA S.A.</t>
  </si>
  <si>
    <t>2020-07-29</t>
  </si>
  <si>
    <t>2024-05-29</t>
  </si>
  <si>
    <t>2025-10-23</t>
  </si>
  <si>
    <t>2017-12-11</t>
  </si>
  <si>
    <t>2025-07-10</t>
  </si>
  <si>
    <t>2019-06-21</t>
  </si>
  <si>
    <t>2021-04-27</t>
  </si>
  <si>
    <t>2023-11-24</t>
  </si>
  <si>
    <t>2024-05-13</t>
  </si>
  <si>
    <t>2022-04-22</t>
  </si>
  <si>
    <t>2026-12-31</t>
  </si>
  <si>
    <t>2018-04-11</t>
  </si>
  <si>
    <t>2020-04-28</t>
  </si>
  <si>
    <t>2025-12-01</t>
  </si>
  <si>
    <t>ELETROBRÁS PARTICIPAÇÕES S.A. - ELETROPAR</t>
  </si>
  <si>
    <t>CENTRAIS ELET BRAS S.A. - ELETROBRAS</t>
  </si>
  <si>
    <t>2019-01-29</t>
  </si>
  <si>
    <t>2020-02-17</t>
  </si>
  <si>
    <t>2021-04-26</t>
  </si>
  <si>
    <t>2025-12-22</t>
  </si>
  <si>
    <t>2019-05-27</t>
  </si>
  <si>
    <t>2022-04-26</t>
  </si>
  <si>
    <t>2024-05-17</t>
  </si>
  <si>
    <t>ENERGISA MATO GROSSO DO SUL - DIST DE ENERGIA S.A.</t>
  </si>
  <si>
    <t>ENERGISA SERGIPE - DISTRIBUIDORA DE ENERGIA S/A</t>
  </si>
  <si>
    <t>2018-04-25</t>
  </si>
  <si>
    <t>ENERGISA TRANSMISSÃO DE ENERGIA S/A</t>
  </si>
  <si>
    <t>2018-11-16</t>
  </si>
  <si>
    <t>ENERGISA PARAÍBA - DISTRIBUIDORA DE ENERGIA S/A</t>
  </si>
  <si>
    <t>ENERGISA MINAS RIO - DISTRIBUIDORA DE ENERGIA S/A</t>
  </si>
  <si>
    <t>ENERGISA MATO GROSSO-DISTRIBUIDORA DE ENERGIA S/A</t>
  </si>
  <si>
    <t>2018-12-27</t>
  </si>
  <si>
    <t>ENERGISA S.A.</t>
  </si>
  <si>
    <t>2019-03-15</t>
  </si>
  <si>
    <t>2019-09-16</t>
  </si>
  <si>
    <t>2020-12-31</t>
  </si>
  <si>
    <t>2024-02-29</t>
  </si>
  <si>
    <t>2024-04-27</t>
  </si>
  <si>
    <t>2025-04-22</t>
  </si>
  <si>
    <t>2018-08-09</t>
  </si>
  <si>
    <t>2019-12-06</t>
  </si>
  <si>
    <t>2022-05-12</t>
  </si>
  <si>
    <t>2023-05-26</t>
  </si>
  <si>
    <t>2019-12-10</t>
  </si>
  <si>
    <t>2024-04-16</t>
  </si>
  <si>
    <t>2025-04-10</t>
  </si>
  <si>
    <t>2020-07-31</t>
  </si>
  <si>
    <t>2018-04-24</t>
  </si>
  <si>
    <t>2021-04-22</t>
  </si>
  <si>
    <t>2023-02-15</t>
  </si>
  <si>
    <t>2024-03-26</t>
  </si>
  <si>
    <t>2023-04-30</t>
  </si>
  <si>
    <t>2018-05-21</t>
  </si>
  <si>
    <t>2019-08-22</t>
  </si>
  <si>
    <t>2020-11-19</t>
  </si>
  <si>
    <t>2022-10-03</t>
  </si>
  <si>
    <t>2018-04-19</t>
  </si>
  <si>
    <t>2020-05-15</t>
  </si>
  <si>
    <t>2021-07-30</t>
  </si>
  <si>
    <t>2024-04-23</t>
  </si>
  <si>
    <t>IGUATEMI S.A.</t>
  </si>
  <si>
    <t>2020-07-08</t>
  </si>
  <si>
    <t>2020-06-25</t>
  </si>
  <si>
    <t>2021-11-22</t>
  </si>
  <si>
    <t>2023-02-01</t>
  </si>
  <si>
    <t>2023-04-20</t>
  </si>
  <si>
    <t>2020-06-17</t>
  </si>
  <si>
    <t>2021-05-07</t>
  </si>
  <si>
    <t>2023-04-25</t>
  </si>
  <si>
    <t>2018-01-31</t>
  </si>
  <si>
    <t>2021-03-24</t>
  </si>
  <si>
    <t>2022-07-29</t>
  </si>
  <si>
    <t>2024-05-07</t>
  </si>
  <si>
    <t>2025-12-18</t>
  </si>
  <si>
    <t>2019-07-04</t>
  </si>
  <si>
    <t>2021-01-19</t>
  </si>
  <si>
    <t>2019-04-18</t>
  </si>
  <si>
    <t>2022-01-10</t>
  </si>
  <si>
    <t>2018-04-13</t>
  </si>
  <si>
    <t>2019-07-31</t>
  </si>
  <si>
    <t>2020-10-07</t>
  </si>
  <si>
    <t>2021-08-26</t>
  </si>
  <si>
    <t>2022-04-18</t>
  </si>
  <si>
    <t>2024-03-21</t>
  </si>
  <si>
    <t>2025-12-30</t>
  </si>
  <si>
    <t>2019-12-17</t>
  </si>
  <si>
    <t>2023-09-28</t>
  </si>
  <si>
    <t>2025-02-28</t>
  </si>
  <si>
    <t>2025-03-28</t>
  </si>
  <si>
    <t>2019-04-12</t>
  </si>
  <si>
    <t>2019-11-13</t>
  </si>
  <si>
    <t>NATURA &amp;CO HOLDING S.A.</t>
  </si>
  <si>
    <t>2020-06-26</t>
  </si>
  <si>
    <t>2020-08-27</t>
  </si>
  <si>
    <t>2022-04-20</t>
  </si>
  <si>
    <t>SUGOI S.A.</t>
  </si>
  <si>
    <t>2016-02-03</t>
  </si>
  <si>
    <t>2018-04-17</t>
  </si>
  <si>
    <t>OI S.A. - EM RECUPERAÇÃO JUDICIAL</t>
  </si>
  <si>
    <t>2019-04-15</t>
  </si>
  <si>
    <t>2019-06-03</t>
  </si>
  <si>
    <t>2020-04-15</t>
  </si>
  <si>
    <t>2020-10-16</t>
  </si>
  <si>
    <t>2020-11-30</t>
  </si>
  <si>
    <t>2022-04-11</t>
  </si>
  <si>
    <t>2022-05-02</t>
  </si>
  <si>
    <t>2022-12-01</t>
  </si>
  <si>
    <t>2023-08-21</t>
  </si>
  <si>
    <t>2025-07-17</t>
  </si>
  <si>
    <t>2024-12-18</t>
  </si>
  <si>
    <t>2026-07-24</t>
  </si>
  <si>
    <t>2019-05-28</t>
  </si>
  <si>
    <t>2020-12-04</t>
  </si>
  <si>
    <t>2021-04-20</t>
  </si>
  <si>
    <t>PETRO RIO JAGUAR PETRÓLEO S.A.</t>
  </si>
  <si>
    <t>2023-12-29</t>
  </si>
  <si>
    <t>2024-01-02</t>
  </si>
  <si>
    <t>2024-04-19</t>
  </si>
  <si>
    <t>2017-03-29</t>
  </si>
  <si>
    <t>2018-03-29</t>
  </si>
  <si>
    <t>2020-03-31</t>
  </si>
  <si>
    <t>2021-10-20</t>
  </si>
  <si>
    <t>2022-03-31</t>
  </si>
  <si>
    <t>2024-03-28</t>
  </si>
  <si>
    <t>2018-03-28</t>
  </si>
  <si>
    <t>2019-04-10</t>
  </si>
  <si>
    <t>2020-09-23</t>
  </si>
  <si>
    <t>2024-04-17</t>
  </si>
  <si>
    <t>2021-04-21</t>
  </si>
  <si>
    <t>2023-07-19</t>
  </si>
  <si>
    <t>2025-06-27</t>
  </si>
  <si>
    <t>2020-11-13</t>
  </si>
  <si>
    <t>2023-11-30</t>
  </si>
  <si>
    <t>LOCALIZA RENT A CAR S.A.</t>
  </si>
  <si>
    <t>2019-07-16</t>
  </si>
  <si>
    <t>2020-04-23</t>
  </si>
  <si>
    <t>2020-03-13</t>
  </si>
  <si>
    <t>2020-11-12</t>
  </si>
  <si>
    <t>2023-03-20</t>
  </si>
  <si>
    <t>2024-03-11</t>
  </si>
  <si>
    <t>2024-04-10</t>
  </si>
  <si>
    <t>2025-05-09</t>
  </si>
  <si>
    <t>2025-03-27</t>
  </si>
  <si>
    <t>2026-09-03</t>
  </si>
  <si>
    <t>2021-12-17</t>
  </si>
  <si>
    <t>2022-12-31</t>
  </si>
  <si>
    <t>2019-05-31</t>
  </si>
  <si>
    <t>2024-07-22</t>
  </si>
  <si>
    <t>2022-04-30</t>
  </si>
  <si>
    <t>2018-02-28</t>
  </si>
  <si>
    <t>2019-06-24</t>
  </si>
  <si>
    <t>2023-07-28</t>
  </si>
  <si>
    <t>2024-07-26</t>
  </si>
  <si>
    <t>2018-09-13</t>
  </si>
  <si>
    <t>2020-05-22</t>
  </si>
  <si>
    <t>2024-01-31</t>
  </si>
  <si>
    <t>2024-08-09</t>
  </si>
  <si>
    <t>2019-10-28</t>
  </si>
  <si>
    <t>2020-09-28</t>
  </si>
  <si>
    <t>2021-03-31</t>
  </si>
  <si>
    <t>2022-03-29</t>
  </si>
  <si>
    <t>2023-03-30</t>
  </si>
  <si>
    <t>2019-05-16</t>
  </si>
  <si>
    <t>2025-04-23</t>
  </si>
  <si>
    <t>2021-04-14</t>
  </si>
  <si>
    <t>2019-04-23</t>
  </si>
  <si>
    <t>2019-07-26</t>
  </si>
  <si>
    <t>2020-07-28</t>
  </si>
  <si>
    <t>2021-04-15</t>
  </si>
  <si>
    <t>2018-04-12</t>
  </si>
  <si>
    <t>2019-04-11</t>
  </si>
  <si>
    <t>2020-10-01</t>
  </si>
  <si>
    <t>2024-04-11</t>
  </si>
  <si>
    <t>2018-04-18</t>
  </si>
  <si>
    <t>2020-04-24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</si>
</sst>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9" fontId="2" fillId="3" borderId="0" xfId="0" applyNumberFormat="1" applyFont="1" applyFill="1" applyAlignment="1">
      <alignment horizontal="left"/>
    </xf>
    <xf numFmtId="3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4" customWidth="1"/>
    <col min="3" max="3" width="12" customWidth="1"/>
    <col min="4" max="6" width="14" customWidth="1"/>
    <col min="7" max="7" width="13" customWidth="1"/>
    <col min="8" max="10" width="16" customWidth="1"/>
    <col min="11" max="11" width="10" customWidth="1"/>
    <col min="12" max="12" width="13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>
        <v>1537290</v>
      </c>
      <c r="E2" s="3">
        <v>13124</v>
      </c>
      <c r="F2" s="3">
        <v>840</v>
      </c>
      <c r="G2" s="3">
        <v>1551254</v>
      </c>
      <c r="H2" s="3">
        <v>2842760965</v>
      </c>
      <c r="I2" s="3">
        <v>0</v>
      </c>
      <c r="J2" s="3">
        <v>2842760965</v>
      </c>
      <c r="K2" s="4">
        <v>0.49604999999999999</v>
      </c>
      <c r="L2" s="3">
        <f t="shared" ref="L2:L33" si="0">IFERROR(J2/G2,"")</f>
        <v>1832.5567347449226</v>
      </c>
    </row>
    <row r="3" spans="1:12" x14ac:dyDescent="0.25">
      <c r="A3" s="5" t="s">
        <v>15</v>
      </c>
      <c r="B3" s="5" t="s">
        <v>16</v>
      </c>
      <c r="C3" s="5" t="s">
        <v>17</v>
      </c>
      <c r="D3" s="6">
        <v>1175160</v>
      </c>
      <c r="E3" s="6">
        <v>5987</v>
      </c>
      <c r="F3" s="6">
        <v>2628</v>
      </c>
      <c r="G3" s="6">
        <v>1183775</v>
      </c>
      <c r="H3" s="6">
        <v>3478479815</v>
      </c>
      <c r="I3" s="6">
        <v>4410957710</v>
      </c>
      <c r="J3" s="6">
        <v>7889437525</v>
      </c>
      <c r="K3" s="7">
        <v>0.61212</v>
      </c>
      <c r="L3" s="6">
        <f t="shared" si="0"/>
        <v>6664.6427952947142</v>
      </c>
    </row>
    <row r="4" spans="1:12" x14ac:dyDescent="0.25">
      <c r="A4" s="2" t="s">
        <v>18</v>
      </c>
      <c r="B4" s="2" t="s">
        <v>19</v>
      </c>
      <c r="C4" s="2" t="s">
        <v>20</v>
      </c>
      <c r="D4" s="3">
        <v>961131</v>
      </c>
      <c r="E4" s="3">
        <v>2566</v>
      </c>
      <c r="F4" s="3">
        <v>1753</v>
      </c>
      <c r="G4" s="3">
        <v>965450</v>
      </c>
      <c r="H4" s="3">
        <v>1390174033</v>
      </c>
      <c r="I4" s="3">
        <v>5980171123</v>
      </c>
      <c r="J4" s="3">
        <v>7370345156</v>
      </c>
      <c r="K4" s="4">
        <v>0.65725999999999996</v>
      </c>
      <c r="L4" s="3">
        <f t="shared" si="0"/>
        <v>7634.1034294888395</v>
      </c>
    </row>
    <row r="5" spans="1:12" x14ac:dyDescent="0.25">
      <c r="A5" s="5" t="s">
        <v>21</v>
      </c>
      <c r="B5" s="5" t="s">
        <v>22</v>
      </c>
      <c r="C5" s="5" t="s">
        <v>23</v>
      </c>
      <c r="D5" s="6">
        <v>847717</v>
      </c>
      <c r="E5" s="6">
        <v>33578</v>
      </c>
      <c r="F5" s="6">
        <v>1181</v>
      </c>
      <c r="G5" s="6">
        <v>882476</v>
      </c>
      <c r="H5" s="6">
        <v>1464434502</v>
      </c>
      <c r="I5" s="6">
        <v>5100907585</v>
      </c>
      <c r="J5" s="6">
        <v>6565342087</v>
      </c>
      <c r="K5" s="7">
        <v>0.61984000000000006</v>
      </c>
      <c r="L5" s="6">
        <f t="shared" si="0"/>
        <v>7439.6834440823322</v>
      </c>
    </row>
    <row r="6" spans="1:12" x14ac:dyDescent="0.25">
      <c r="A6" s="2" t="s">
        <v>24</v>
      </c>
      <c r="B6" s="2" t="s">
        <v>25</v>
      </c>
      <c r="C6" s="2" t="s">
        <v>20</v>
      </c>
      <c r="D6" s="3">
        <v>762043</v>
      </c>
      <c r="E6" s="3">
        <v>14214</v>
      </c>
      <c r="F6" s="3">
        <v>1547</v>
      </c>
      <c r="G6" s="3">
        <v>777804</v>
      </c>
      <c r="H6" s="3">
        <v>4262140818</v>
      </c>
      <c r="I6" s="3">
        <v>12</v>
      </c>
      <c r="J6" s="3">
        <v>4262140830</v>
      </c>
      <c r="K6" s="4">
        <v>0.96011999999999997</v>
      </c>
      <c r="L6" s="3">
        <f t="shared" si="0"/>
        <v>5479.7106083280623</v>
      </c>
    </row>
    <row r="7" spans="1:12" x14ac:dyDescent="0.25">
      <c r="A7" s="5" t="s">
        <v>26</v>
      </c>
      <c r="B7" s="5" t="s">
        <v>27</v>
      </c>
      <c r="C7" s="5" t="s">
        <v>28</v>
      </c>
      <c r="D7" s="6">
        <v>653637</v>
      </c>
      <c r="E7" s="6">
        <v>12764</v>
      </c>
      <c r="F7" s="6">
        <v>1397</v>
      </c>
      <c r="G7" s="6">
        <v>667798</v>
      </c>
      <c r="H7" s="6">
        <v>456130473</v>
      </c>
      <c r="I7" s="6">
        <v>5337898685</v>
      </c>
      <c r="J7" s="6">
        <v>5794029158</v>
      </c>
      <c r="K7" s="7">
        <v>0.52544999999999997</v>
      </c>
      <c r="L7" s="6">
        <f t="shared" si="0"/>
        <v>8676.3200219227965</v>
      </c>
    </row>
    <row r="8" spans="1:12" x14ac:dyDescent="0.25">
      <c r="A8" s="2" t="s">
        <v>29</v>
      </c>
      <c r="B8" s="2" t="s">
        <v>30</v>
      </c>
      <c r="C8" s="2" t="s">
        <v>31</v>
      </c>
      <c r="D8" s="3">
        <v>661270</v>
      </c>
      <c r="E8" s="3">
        <v>1218</v>
      </c>
      <c r="F8" s="3">
        <v>1322</v>
      </c>
      <c r="G8" s="3">
        <v>663810</v>
      </c>
      <c r="H8" s="3">
        <v>786869850</v>
      </c>
      <c r="I8" s="3">
        <v>3314588213</v>
      </c>
      <c r="J8" s="3">
        <v>4101458063</v>
      </c>
      <c r="K8" s="4">
        <v>0.65720000000000001</v>
      </c>
      <c r="L8" s="3">
        <f t="shared" si="0"/>
        <v>6178.6626640153054</v>
      </c>
    </row>
    <row r="9" spans="1:12" x14ac:dyDescent="0.25">
      <c r="A9" s="5" t="s">
        <v>32</v>
      </c>
      <c r="B9" s="5" t="s">
        <v>33</v>
      </c>
      <c r="C9" s="5" t="s">
        <v>20</v>
      </c>
      <c r="D9" s="6">
        <v>606047</v>
      </c>
      <c r="E9" s="6">
        <v>2988</v>
      </c>
      <c r="F9" s="6">
        <v>1262</v>
      </c>
      <c r="G9" s="6">
        <v>610297</v>
      </c>
      <c r="H9" s="6">
        <v>616248544</v>
      </c>
      <c r="I9" s="6">
        <v>0</v>
      </c>
      <c r="J9" s="6">
        <v>616248544</v>
      </c>
      <c r="K9" s="7">
        <v>0.31741999999999998</v>
      </c>
      <c r="L9" s="6">
        <f t="shared" si="0"/>
        <v>1009.7518814609936</v>
      </c>
    </row>
    <row r="10" spans="1:12" x14ac:dyDescent="0.25">
      <c r="A10" s="2" t="s">
        <v>34</v>
      </c>
      <c r="B10" s="2" t="s">
        <v>35</v>
      </c>
      <c r="C10" s="2" t="s">
        <v>36</v>
      </c>
      <c r="D10" s="3">
        <v>320070</v>
      </c>
      <c r="E10" s="3">
        <v>16582</v>
      </c>
      <c r="F10" s="3">
        <v>724</v>
      </c>
      <c r="G10" s="3">
        <v>337376</v>
      </c>
      <c r="H10" s="3">
        <v>356245448</v>
      </c>
      <c r="I10" s="3">
        <v>384049858</v>
      </c>
      <c r="J10" s="3">
        <v>740295306</v>
      </c>
      <c r="K10" s="4">
        <v>9.8729999999999998E-2</v>
      </c>
      <c r="L10" s="3">
        <f t="shared" si="0"/>
        <v>2194.2737657687567</v>
      </c>
    </row>
    <row r="11" spans="1:12" x14ac:dyDescent="0.25">
      <c r="A11" s="5" t="s">
        <v>37</v>
      </c>
      <c r="B11" s="5" t="s">
        <v>38</v>
      </c>
      <c r="C11" s="5" t="s">
        <v>20</v>
      </c>
      <c r="D11" s="6">
        <v>318038</v>
      </c>
      <c r="E11" s="6">
        <v>1556</v>
      </c>
      <c r="F11" s="6">
        <v>232</v>
      </c>
      <c r="G11" s="6">
        <v>319826</v>
      </c>
      <c r="H11" s="6">
        <v>389237948</v>
      </c>
      <c r="I11" s="6">
        <v>0</v>
      </c>
      <c r="J11" s="6">
        <v>389237948</v>
      </c>
      <c r="K11" s="7">
        <v>0.50163000000000002</v>
      </c>
      <c r="L11" s="6">
        <f t="shared" si="0"/>
        <v>1217.0303477515899</v>
      </c>
    </row>
    <row r="12" spans="1:12" x14ac:dyDescent="0.25">
      <c r="A12" s="2" t="s">
        <v>39</v>
      </c>
      <c r="B12" s="2" t="s">
        <v>40</v>
      </c>
      <c r="C12" s="2" t="s">
        <v>20</v>
      </c>
      <c r="D12" s="3">
        <v>290198</v>
      </c>
      <c r="E12" s="3">
        <v>2306</v>
      </c>
      <c r="F12" s="3">
        <v>1647</v>
      </c>
      <c r="G12" s="3">
        <v>294151</v>
      </c>
      <c r="H12" s="3">
        <v>4972065060</v>
      </c>
      <c r="I12" s="3">
        <v>0</v>
      </c>
      <c r="J12" s="3">
        <v>4972065060</v>
      </c>
      <c r="K12" s="4">
        <v>0.98525000000000007</v>
      </c>
      <c r="L12" s="3">
        <f t="shared" si="0"/>
        <v>16903.104391961951</v>
      </c>
    </row>
    <row r="13" spans="1:12" x14ac:dyDescent="0.25">
      <c r="A13" s="5" t="s">
        <v>41</v>
      </c>
      <c r="B13" s="5" t="s">
        <v>42</v>
      </c>
      <c r="C13" s="5" t="s">
        <v>43</v>
      </c>
      <c r="D13" s="6">
        <v>228814</v>
      </c>
      <c r="E13" s="6">
        <v>45101</v>
      </c>
      <c r="F13" s="6">
        <v>1776</v>
      </c>
      <c r="G13" s="6">
        <v>275691</v>
      </c>
      <c r="H13" s="6">
        <v>2364888054</v>
      </c>
      <c r="I13" s="6">
        <v>447942145</v>
      </c>
      <c r="J13" s="6">
        <v>2812830199</v>
      </c>
      <c r="K13" s="7">
        <v>0.97543999999999997</v>
      </c>
      <c r="L13" s="6">
        <f t="shared" si="0"/>
        <v>10202.836505362888</v>
      </c>
    </row>
    <row r="14" spans="1:12" x14ac:dyDescent="0.25">
      <c r="A14" s="2" t="s">
        <v>44</v>
      </c>
      <c r="B14" s="2" t="s">
        <v>45</v>
      </c>
      <c r="C14" s="2" t="s">
        <v>17</v>
      </c>
      <c r="D14" s="3">
        <v>233281</v>
      </c>
      <c r="E14" s="3">
        <v>39774</v>
      </c>
      <c r="F14" s="3">
        <v>571</v>
      </c>
      <c r="G14" s="3">
        <v>273626</v>
      </c>
      <c r="H14" s="3">
        <v>707098992</v>
      </c>
      <c r="I14" s="3">
        <v>0</v>
      </c>
      <c r="J14" s="3">
        <v>707098992</v>
      </c>
      <c r="K14" s="4">
        <v>0.21915000000000001</v>
      </c>
      <c r="L14" s="3">
        <f t="shared" si="0"/>
        <v>2584.1805676361164</v>
      </c>
    </row>
    <row r="15" spans="1:12" x14ac:dyDescent="0.25">
      <c r="A15" s="5" t="s">
        <v>46</v>
      </c>
      <c r="B15" s="5" t="s">
        <v>47</v>
      </c>
      <c r="C15" s="5" t="s">
        <v>48</v>
      </c>
      <c r="D15" s="6">
        <v>256355</v>
      </c>
      <c r="E15" s="6">
        <v>7216</v>
      </c>
      <c r="F15" s="6">
        <v>993</v>
      </c>
      <c r="G15" s="6">
        <v>264564</v>
      </c>
      <c r="H15" s="6">
        <v>443076690</v>
      </c>
      <c r="I15" s="6">
        <v>0</v>
      </c>
      <c r="J15" s="6">
        <v>443076690</v>
      </c>
      <c r="K15" s="7">
        <v>0.31281999999999999</v>
      </c>
      <c r="L15" s="6">
        <f t="shared" si="0"/>
        <v>1674.7429355467864</v>
      </c>
    </row>
    <row r="16" spans="1:12" x14ac:dyDescent="0.25">
      <c r="A16" s="2" t="s">
        <v>49</v>
      </c>
      <c r="B16" s="2" t="s">
        <v>50</v>
      </c>
      <c r="C16" s="2" t="s">
        <v>51</v>
      </c>
      <c r="D16" s="3">
        <v>210311</v>
      </c>
      <c r="E16" s="3">
        <v>2431</v>
      </c>
      <c r="F16" s="3">
        <v>1426</v>
      </c>
      <c r="G16" s="3">
        <v>214168</v>
      </c>
      <c r="H16" s="3">
        <v>13881804</v>
      </c>
      <c r="I16" s="3">
        <v>1244020550</v>
      </c>
      <c r="J16" s="3">
        <v>1257902354</v>
      </c>
      <c r="K16" s="4">
        <v>0.63594000000000006</v>
      </c>
      <c r="L16" s="3">
        <f t="shared" si="0"/>
        <v>5873.4374603115311</v>
      </c>
    </row>
    <row r="17" spans="1:12" x14ac:dyDescent="0.25">
      <c r="A17" s="5" t="s">
        <v>52</v>
      </c>
      <c r="B17" s="5" t="s">
        <v>53</v>
      </c>
      <c r="C17" s="5" t="s">
        <v>54</v>
      </c>
      <c r="D17" s="6">
        <v>210589</v>
      </c>
      <c r="E17" s="6">
        <v>1959</v>
      </c>
      <c r="F17" s="6">
        <v>539</v>
      </c>
      <c r="G17" s="6">
        <v>213087</v>
      </c>
      <c r="H17" s="6">
        <v>4043349180</v>
      </c>
      <c r="I17" s="6">
        <v>0</v>
      </c>
      <c r="J17" s="6">
        <v>4043349180</v>
      </c>
      <c r="K17" s="7">
        <v>0.26112000000000002</v>
      </c>
      <c r="L17" s="6">
        <f t="shared" si="0"/>
        <v>18975.109603119854</v>
      </c>
    </row>
    <row r="18" spans="1:12" x14ac:dyDescent="0.25">
      <c r="A18" s="2" t="s">
        <v>55</v>
      </c>
      <c r="B18" s="2" t="s">
        <v>56</v>
      </c>
      <c r="C18" s="2" t="s">
        <v>57</v>
      </c>
      <c r="D18" s="3">
        <v>166959</v>
      </c>
      <c r="E18" s="3">
        <v>391</v>
      </c>
      <c r="F18" s="3">
        <v>965</v>
      </c>
      <c r="G18" s="3">
        <v>168315</v>
      </c>
      <c r="H18" s="3">
        <v>121267500</v>
      </c>
      <c r="I18" s="3">
        <v>829154443</v>
      </c>
      <c r="J18" s="3">
        <v>950421943</v>
      </c>
      <c r="K18" s="4">
        <v>0.71855000000000002</v>
      </c>
      <c r="L18" s="3">
        <f t="shared" si="0"/>
        <v>5646.685934111636</v>
      </c>
    </row>
    <row r="19" spans="1:12" x14ac:dyDescent="0.25">
      <c r="A19" s="5" t="s">
        <v>58</v>
      </c>
      <c r="B19" s="5" t="s">
        <v>59</v>
      </c>
      <c r="C19" s="5" t="s">
        <v>57</v>
      </c>
      <c r="D19" s="6">
        <v>158586</v>
      </c>
      <c r="E19" s="6">
        <v>1266</v>
      </c>
      <c r="F19" s="6">
        <v>1931</v>
      </c>
      <c r="G19" s="6">
        <v>161783</v>
      </c>
      <c r="H19" s="6">
        <v>747547356</v>
      </c>
      <c r="I19" s="6">
        <v>0</v>
      </c>
      <c r="J19" s="6">
        <v>747547356</v>
      </c>
      <c r="K19" s="7">
        <v>0.85679000000000005</v>
      </c>
      <c r="L19" s="6">
        <f t="shared" si="0"/>
        <v>4620.6792802704858</v>
      </c>
    </row>
    <row r="20" spans="1:12" x14ac:dyDescent="0.25">
      <c r="A20" s="2" t="s">
        <v>60</v>
      </c>
      <c r="B20" s="2" t="s">
        <v>61</v>
      </c>
      <c r="C20" s="2" t="s">
        <v>20</v>
      </c>
      <c r="D20" s="3">
        <v>143726</v>
      </c>
      <c r="E20" s="3">
        <v>750</v>
      </c>
      <c r="F20" s="3">
        <v>623</v>
      </c>
      <c r="G20" s="3">
        <v>145099</v>
      </c>
      <c r="H20" s="3">
        <v>2278224258</v>
      </c>
      <c r="I20" s="3">
        <v>0</v>
      </c>
      <c r="J20" s="3">
        <v>2278224258</v>
      </c>
      <c r="K20" s="4">
        <v>0.57435999999999998</v>
      </c>
      <c r="L20" s="3">
        <f t="shared" si="0"/>
        <v>15701.171324406096</v>
      </c>
    </row>
    <row r="21" spans="1:12" x14ac:dyDescent="0.25">
      <c r="A21" s="5" t="s">
        <v>62</v>
      </c>
      <c r="B21" s="5" t="s">
        <v>63</v>
      </c>
      <c r="C21" s="5" t="s">
        <v>64</v>
      </c>
      <c r="D21" s="6">
        <v>139038</v>
      </c>
      <c r="E21" s="6">
        <v>525</v>
      </c>
      <c r="F21" s="6">
        <v>856</v>
      </c>
      <c r="G21" s="6">
        <v>140419</v>
      </c>
      <c r="H21" s="6">
        <v>178825403</v>
      </c>
      <c r="I21" s="6">
        <v>0</v>
      </c>
      <c r="J21" s="6">
        <v>178825403</v>
      </c>
      <c r="K21" s="7">
        <v>0.27656999999999998</v>
      </c>
      <c r="L21" s="6">
        <f t="shared" si="0"/>
        <v>1273.5128650681177</v>
      </c>
    </row>
    <row r="22" spans="1:12" x14ac:dyDescent="0.25">
      <c r="A22" s="2" t="s">
        <v>65</v>
      </c>
      <c r="B22" s="2" t="s">
        <v>66</v>
      </c>
      <c r="C22" s="2" t="s">
        <v>23</v>
      </c>
      <c r="D22" s="3">
        <v>137285</v>
      </c>
      <c r="E22" s="3">
        <v>387</v>
      </c>
      <c r="F22" s="3">
        <v>846</v>
      </c>
      <c r="G22" s="3">
        <v>138518</v>
      </c>
      <c r="H22" s="3">
        <v>1918999490</v>
      </c>
      <c r="I22" s="3">
        <v>0</v>
      </c>
      <c r="J22" s="3">
        <v>1918999490</v>
      </c>
      <c r="K22" s="4">
        <v>0.92962999999999996</v>
      </c>
      <c r="L22" s="3">
        <f t="shared" si="0"/>
        <v>13853.79149280238</v>
      </c>
    </row>
    <row r="23" spans="1:12" x14ac:dyDescent="0.25">
      <c r="A23" s="5" t="s">
        <v>67</v>
      </c>
      <c r="B23" s="5" t="s">
        <v>68</v>
      </c>
      <c r="C23" s="5" t="s">
        <v>20</v>
      </c>
      <c r="D23" s="6">
        <v>121069</v>
      </c>
      <c r="E23" s="6">
        <v>2434</v>
      </c>
      <c r="F23" s="6">
        <v>1299</v>
      </c>
      <c r="G23" s="6">
        <v>124802</v>
      </c>
      <c r="H23" s="6">
        <v>1194624560</v>
      </c>
      <c r="I23" s="6">
        <v>2389541900</v>
      </c>
      <c r="J23" s="6">
        <v>3584166460</v>
      </c>
      <c r="K23" s="7">
        <v>0.30712</v>
      </c>
      <c r="L23" s="6">
        <f t="shared" si="0"/>
        <v>28718.82229451451</v>
      </c>
    </row>
    <row r="24" spans="1:12" x14ac:dyDescent="0.25">
      <c r="A24" s="2" t="s">
        <v>69</v>
      </c>
      <c r="B24" s="2" t="s">
        <v>70</v>
      </c>
      <c r="C24" s="2" t="s">
        <v>71</v>
      </c>
      <c r="D24" s="3">
        <v>117421</v>
      </c>
      <c r="E24" s="3">
        <v>1290</v>
      </c>
      <c r="F24" s="3">
        <v>1179</v>
      </c>
      <c r="G24" s="3">
        <v>119890</v>
      </c>
      <c r="H24" s="3">
        <v>478975645</v>
      </c>
      <c r="I24" s="3">
        <v>0</v>
      </c>
      <c r="J24" s="3">
        <v>478975645</v>
      </c>
      <c r="K24" s="4">
        <v>0.94999</v>
      </c>
      <c r="L24" s="3">
        <f t="shared" si="0"/>
        <v>3995.1259070814913</v>
      </c>
    </row>
    <row r="25" spans="1:12" x14ac:dyDescent="0.25">
      <c r="A25" s="5" t="s">
        <v>72</v>
      </c>
      <c r="B25" s="5" t="s">
        <v>73</v>
      </c>
      <c r="C25" s="5" t="s">
        <v>74</v>
      </c>
      <c r="D25" s="6">
        <v>114137</v>
      </c>
      <c r="E25" s="6">
        <v>1020</v>
      </c>
      <c r="F25" s="6">
        <v>254</v>
      </c>
      <c r="G25" s="6">
        <v>115411</v>
      </c>
      <c r="H25" s="6">
        <v>167748403</v>
      </c>
      <c r="I25" s="6">
        <v>518315018</v>
      </c>
      <c r="J25" s="6">
        <v>686063421</v>
      </c>
      <c r="K25" s="7">
        <v>0.54749999999999999</v>
      </c>
      <c r="L25" s="6">
        <f t="shared" si="0"/>
        <v>5944.5236675880114</v>
      </c>
    </row>
    <row r="26" spans="1:12" x14ac:dyDescent="0.25">
      <c r="A26" s="2" t="s">
        <v>75</v>
      </c>
      <c r="B26" s="2" t="s">
        <v>76</v>
      </c>
      <c r="C26" s="2" t="s">
        <v>14</v>
      </c>
      <c r="D26" s="3">
        <v>100554</v>
      </c>
      <c r="E26" s="3">
        <v>5050</v>
      </c>
      <c r="F26" s="3">
        <v>1192</v>
      </c>
      <c r="G26" s="3">
        <v>106796</v>
      </c>
      <c r="H26" s="3">
        <v>187732538</v>
      </c>
      <c r="I26" s="3">
        <v>0</v>
      </c>
      <c r="J26" s="3">
        <v>187732538</v>
      </c>
      <c r="K26" s="4">
        <v>0.16292999999999999</v>
      </c>
      <c r="L26" s="3">
        <f t="shared" si="0"/>
        <v>1757.8611371212405</v>
      </c>
    </row>
    <row r="27" spans="1:12" x14ac:dyDescent="0.25">
      <c r="A27" s="5" t="s">
        <v>77</v>
      </c>
      <c r="B27" s="5" t="s">
        <v>78</v>
      </c>
      <c r="C27" s="5" t="s">
        <v>79</v>
      </c>
      <c r="D27" s="6">
        <v>104554</v>
      </c>
      <c r="E27" s="6">
        <v>422</v>
      </c>
      <c r="F27" s="6">
        <v>336</v>
      </c>
      <c r="G27" s="6">
        <v>105312</v>
      </c>
      <c r="H27" s="6">
        <v>401673127</v>
      </c>
      <c r="I27" s="6">
        <v>0</v>
      </c>
      <c r="J27" s="6">
        <v>401673127</v>
      </c>
      <c r="K27" s="7">
        <v>0.76422999999999996</v>
      </c>
      <c r="L27" s="6">
        <f t="shared" si="0"/>
        <v>3814.1249525220296</v>
      </c>
    </row>
    <row r="28" spans="1:12" x14ac:dyDescent="0.25">
      <c r="A28" s="2" t="s">
        <v>80</v>
      </c>
      <c r="B28" s="2" t="s">
        <v>81</v>
      </c>
      <c r="C28" s="2" t="s">
        <v>14</v>
      </c>
      <c r="D28" s="3">
        <v>102907</v>
      </c>
      <c r="E28" s="3">
        <v>555</v>
      </c>
      <c r="F28" s="3">
        <v>1225</v>
      </c>
      <c r="G28" s="3">
        <v>104687</v>
      </c>
      <c r="H28" s="3">
        <v>947858690</v>
      </c>
      <c r="I28" s="3">
        <v>0</v>
      </c>
      <c r="J28" s="3">
        <v>947858690</v>
      </c>
      <c r="K28" s="4">
        <v>0.94141000000000008</v>
      </c>
      <c r="L28" s="3">
        <f t="shared" si="0"/>
        <v>9054.2158052098166</v>
      </c>
    </row>
    <row r="29" spans="1:12" x14ac:dyDescent="0.25">
      <c r="A29" s="5" t="s">
        <v>82</v>
      </c>
      <c r="B29" s="5" t="s">
        <v>83</v>
      </c>
      <c r="C29" s="5" t="s">
        <v>48</v>
      </c>
      <c r="D29" s="6">
        <v>101273</v>
      </c>
      <c r="E29" s="6">
        <v>2257</v>
      </c>
      <c r="F29" s="6">
        <v>638</v>
      </c>
      <c r="G29" s="6">
        <v>104168</v>
      </c>
      <c r="H29" s="6">
        <v>735470942</v>
      </c>
      <c r="I29" s="6">
        <v>0</v>
      </c>
      <c r="J29" s="6">
        <v>735470942</v>
      </c>
      <c r="K29" s="7">
        <v>0.53278000000000003</v>
      </c>
      <c r="L29" s="6">
        <f t="shared" si="0"/>
        <v>7060.4306696874282</v>
      </c>
    </row>
    <row r="30" spans="1:12" x14ac:dyDescent="0.25">
      <c r="A30" s="2" t="s">
        <v>84</v>
      </c>
      <c r="B30" s="2" t="s">
        <v>85</v>
      </c>
      <c r="C30" s="2" t="s">
        <v>64</v>
      </c>
      <c r="D30" s="3">
        <v>87162</v>
      </c>
      <c r="E30" s="3">
        <v>11545</v>
      </c>
      <c r="F30" s="3">
        <v>436</v>
      </c>
      <c r="G30" s="3">
        <v>99143</v>
      </c>
      <c r="H30" s="3">
        <v>776308601</v>
      </c>
      <c r="I30" s="3">
        <v>0</v>
      </c>
      <c r="J30" s="3">
        <v>776308601</v>
      </c>
      <c r="K30" s="4">
        <v>0.32633000000000001</v>
      </c>
      <c r="L30" s="3">
        <f t="shared" si="0"/>
        <v>7830.1907446819241</v>
      </c>
    </row>
    <row r="31" spans="1:12" x14ac:dyDescent="0.25">
      <c r="A31" s="5" t="s">
        <v>86</v>
      </c>
      <c r="B31" s="5" t="s">
        <v>87</v>
      </c>
      <c r="C31" s="5" t="s">
        <v>88</v>
      </c>
      <c r="D31" s="6">
        <v>77318</v>
      </c>
      <c r="E31" s="6">
        <v>14221</v>
      </c>
      <c r="F31" s="6">
        <v>859</v>
      </c>
      <c r="G31" s="6">
        <v>92398</v>
      </c>
      <c r="H31" s="6">
        <v>711833141</v>
      </c>
      <c r="I31" s="6">
        <v>0</v>
      </c>
      <c r="J31" s="6">
        <v>711833141</v>
      </c>
      <c r="K31" s="7">
        <v>0.96132999999999991</v>
      </c>
      <c r="L31" s="6">
        <f t="shared" si="0"/>
        <v>7703.98862529492</v>
      </c>
    </row>
    <row r="32" spans="1:12" x14ac:dyDescent="0.25">
      <c r="A32" s="2" t="s">
        <v>89</v>
      </c>
      <c r="B32" s="2" t="s">
        <v>90</v>
      </c>
      <c r="C32" s="2" t="s">
        <v>91</v>
      </c>
      <c r="D32" s="3">
        <v>89690</v>
      </c>
      <c r="E32" s="3">
        <v>233</v>
      </c>
      <c r="F32" s="3">
        <v>43</v>
      </c>
      <c r="G32" s="3">
        <v>89966</v>
      </c>
      <c r="H32" s="3">
        <v>0</v>
      </c>
      <c r="I32" s="3">
        <v>1853932413</v>
      </c>
      <c r="J32" s="3">
        <v>1853932413</v>
      </c>
      <c r="K32" s="4">
        <v>2.0000000000000001E-4</v>
      </c>
      <c r="L32" s="3">
        <f t="shared" si="0"/>
        <v>20607.033912811508</v>
      </c>
    </row>
    <row r="33" spans="1:12" x14ac:dyDescent="0.25">
      <c r="A33" s="5" t="s">
        <v>92</v>
      </c>
      <c r="B33" s="5" t="s">
        <v>93</v>
      </c>
      <c r="C33" s="5" t="s">
        <v>94</v>
      </c>
      <c r="D33" s="6">
        <v>86623</v>
      </c>
      <c r="E33" s="6">
        <v>798</v>
      </c>
      <c r="F33" s="6">
        <v>1488</v>
      </c>
      <c r="G33" s="6">
        <v>88909</v>
      </c>
      <c r="H33" s="6">
        <v>608216821</v>
      </c>
      <c r="I33" s="6">
        <v>0</v>
      </c>
      <c r="J33" s="6">
        <v>608216821</v>
      </c>
      <c r="K33" s="7">
        <v>0.48114000000000001</v>
      </c>
      <c r="L33" s="6">
        <f t="shared" si="0"/>
        <v>6840.8914845516201</v>
      </c>
    </row>
    <row r="34" spans="1:12" x14ac:dyDescent="0.25">
      <c r="A34" s="2" t="s">
        <v>95</v>
      </c>
      <c r="B34" s="2" t="s">
        <v>96</v>
      </c>
      <c r="C34" s="2" t="s">
        <v>48</v>
      </c>
      <c r="D34" s="3">
        <v>82177</v>
      </c>
      <c r="E34" s="3">
        <v>922</v>
      </c>
      <c r="F34" s="3">
        <v>964</v>
      </c>
      <c r="G34" s="3">
        <v>84063</v>
      </c>
      <c r="H34" s="3">
        <v>727421210</v>
      </c>
      <c r="I34" s="3">
        <v>0</v>
      </c>
      <c r="J34" s="3">
        <v>727421210</v>
      </c>
      <c r="K34" s="4">
        <v>0.54854000000000003</v>
      </c>
      <c r="L34" s="3">
        <f t="shared" ref="L34:L63" si="1">IFERROR(J34/G34,"")</f>
        <v>8653.2863447652362</v>
      </c>
    </row>
    <row r="35" spans="1:12" x14ac:dyDescent="0.25">
      <c r="A35" s="5" t="s">
        <v>97</v>
      </c>
      <c r="B35" s="5" t="s">
        <v>98</v>
      </c>
      <c r="C35" s="5" t="s">
        <v>20</v>
      </c>
      <c r="D35" s="6">
        <v>80033</v>
      </c>
      <c r="E35" s="6">
        <v>904</v>
      </c>
      <c r="F35" s="6">
        <v>1436</v>
      </c>
      <c r="G35" s="6">
        <v>82373</v>
      </c>
      <c r="H35" s="6">
        <v>1246008097</v>
      </c>
      <c r="I35" s="6">
        <v>0</v>
      </c>
      <c r="J35" s="6">
        <v>1246008097</v>
      </c>
      <c r="K35" s="7">
        <v>0.98934</v>
      </c>
      <c r="L35" s="6">
        <f t="shared" si="1"/>
        <v>15126.413958457262</v>
      </c>
    </row>
    <row r="36" spans="1:12" x14ac:dyDescent="0.25">
      <c r="A36" s="2" t="s">
        <v>99</v>
      </c>
      <c r="B36" s="2" t="s">
        <v>100</v>
      </c>
      <c r="C36" s="2" t="s">
        <v>20</v>
      </c>
      <c r="D36" s="3">
        <v>73710</v>
      </c>
      <c r="E36" s="3">
        <v>678</v>
      </c>
      <c r="F36" s="3">
        <v>1108</v>
      </c>
      <c r="G36" s="3">
        <v>75496</v>
      </c>
      <c r="H36" s="3">
        <v>250639995</v>
      </c>
      <c r="I36" s="3">
        <v>47271637</v>
      </c>
      <c r="J36" s="3">
        <v>297911632</v>
      </c>
      <c r="K36" s="4">
        <v>0.65698999999999996</v>
      </c>
      <c r="L36" s="3">
        <f t="shared" si="1"/>
        <v>3946.0584931652006</v>
      </c>
    </row>
    <row r="37" spans="1:12" x14ac:dyDescent="0.25">
      <c r="A37" s="5" t="s">
        <v>101</v>
      </c>
      <c r="B37" s="5" t="s">
        <v>102</v>
      </c>
      <c r="C37" s="5" t="s">
        <v>103</v>
      </c>
      <c r="D37" s="6">
        <v>72045</v>
      </c>
      <c r="E37" s="6">
        <v>393</v>
      </c>
      <c r="F37" s="6">
        <v>684</v>
      </c>
      <c r="G37" s="6">
        <v>73122</v>
      </c>
      <c r="H37" s="6">
        <v>219994273</v>
      </c>
      <c r="I37" s="6">
        <v>0</v>
      </c>
      <c r="J37" s="6">
        <v>219994273</v>
      </c>
      <c r="K37" s="7">
        <v>0.44108999999999998</v>
      </c>
      <c r="L37" s="6">
        <f t="shared" si="1"/>
        <v>3008.592120018599</v>
      </c>
    </row>
    <row r="38" spans="1:12" x14ac:dyDescent="0.25">
      <c r="A38" s="2" t="s">
        <v>104</v>
      </c>
      <c r="B38" s="2" t="s">
        <v>105</v>
      </c>
      <c r="C38" s="2" t="s">
        <v>106</v>
      </c>
      <c r="D38" s="3">
        <v>70580</v>
      </c>
      <c r="E38" s="3">
        <v>569</v>
      </c>
      <c r="F38" s="3">
        <v>790</v>
      </c>
      <c r="G38" s="3">
        <v>71939</v>
      </c>
      <c r="H38" s="3">
        <v>277531689</v>
      </c>
      <c r="I38" s="3">
        <v>0</v>
      </c>
      <c r="J38" s="3">
        <v>277531689</v>
      </c>
      <c r="K38" s="4">
        <v>0.59741</v>
      </c>
      <c r="L38" s="3">
        <f t="shared" si="1"/>
        <v>3857.8752693254005</v>
      </c>
    </row>
    <row r="39" spans="1:12" x14ac:dyDescent="0.25">
      <c r="A39" s="5" t="s">
        <v>107</v>
      </c>
      <c r="B39" s="5" t="s">
        <v>108</v>
      </c>
      <c r="C39" s="5" t="s">
        <v>103</v>
      </c>
      <c r="D39" s="6">
        <v>63721</v>
      </c>
      <c r="E39" s="6">
        <v>377</v>
      </c>
      <c r="F39" s="6">
        <v>142</v>
      </c>
      <c r="G39" s="6">
        <v>64240</v>
      </c>
      <c r="H39" s="6">
        <v>445109681</v>
      </c>
      <c r="I39" s="6">
        <v>0</v>
      </c>
      <c r="J39" s="6">
        <v>445109681</v>
      </c>
      <c r="K39" s="7">
        <v>0.44486999999999999</v>
      </c>
      <c r="L39" s="6">
        <f t="shared" si="1"/>
        <v>6928.855557285181</v>
      </c>
    </row>
    <row r="40" spans="1:12" x14ac:dyDescent="0.25">
      <c r="A40" s="2" t="s">
        <v>109</v>
      </c>
      <c r="B40" s="2" t="s">
        <v>110</v>
      </c>
      <c r="C40" s="2" t="s">
        <v>51</v>
      </c>
      <c r="D40" s="3">
        <v>59973</v>
      </c>
      <c r="E40" s="3">
        <v>303</v>
      </c>
      <c r="F40" s="3">
        <v>1489</v>
      </c>
      <c r="G40" s="3">
        <v>61765</v>
      </c>
      <c r="H40" s="3">
        <v>1315741209</v>
      </c>
      <c r="I40" s="3">
        <v>0</v>
      </c>
      <c r="J40" s="3">
        <v>1315741209</v>
      </c>
      <c r="K40" s="4">
        <v>0.75084000000000006</v>
      </c>
      <c r="L40" s="3">
        <f t="shared" si="1"/>
        <v>21302.375277260584</v>
      </c>
    </row>
    <row r="41" spans="1:12" x14ac:dyDescent="0.25">
      <c r="A41" s="5" t="s">
        <v>111</v>
      </c>
      <c r="B41" s="5" t="s">
        <v>112</v>
      </c>
      <c r="C41" s="5" t="s">
        <v>103</v>
      </c>
      <c r="D41" s="6">
        <v>57945</v>
      </c>
      <c r="E41" s="6">
        <v>572</v>
      </c>
      <c r="F41" s="6">
        <v>2089</v>
      </c>
      <c r="G41" s="6">
        <v>60606</v>
      </c>
      <c r="H41" s="6">
        <v>3524534025</v>
      </c>
      <c r="I41" s="6">
        <v>1</v>
      </c>
      <c r="J41" s="6">
        <v>3524534026</v>
      </c>
      <c r="K41" s="7">
        <v>1</v>
      </c>
      <c r="L41" s="6">
        <f t="shared" si="1"/>
        <v>58154.869583869586</v>
      </c>
    </row>
    <row r="42" spans="1:12" x14ac:dyDescent="0.25">
      <c r="A42" s="2" t="s">
        <v>113</v>
      </c>
      <c r="B42" s="2" t="s">
        <v>114</v>
      </c>
      <c r="C42" s="2" t="s">
        <v>115</v>
      </c>
      <c r="D42" s="3">
        <v>54554</v>
      </c>
      <c r="E42" s="3">
        <v>2128</v>
      </c>
      <c r="F42" s="3">
        <v>0</v>
      </c>
      <c r="G42" s="3">
        <v>56682</v>
      </c>
      <c r="H42" s="3">
        <v>1030028001</v>
      </c>
      <c r="I42" s="3">
        <v>0</v>
      </c>
      <c r="J42" s="3">
        <v>1030028001</v>
      </c>
      <c r="K42" s="4">
        <v>0.45977000000000001</v>
      </c>
      <c r="L42" s="3">
        <f t="shared" si="1"/>
        <v>18172.047581242721</v>
      </c>
    </row>
    <row r="43" spans="1:12" x14ac:dyDescent="0.25">
      <c r="A43" s="5" t="s">
        <v>116</v>
      </c>
      <c r="B43" s="5" t="s">
        <v>117</v>
      </c>
      <c r="C43" s="5" t="s">
        <v>51</v>
      </c>
      <c r="D43" s="6">
        <v>53436</v>
      </c>
      <c r="E43" s="6">
        <v>219</v>
      </c>
      <c r="F43" s="6">
        <v>386</v>
      </c>
      <c r="G43" s="6">
        <v>54041</v>
      </c>
      <c r="H43" s="6">
        <v>1194079963</v>
      </c>
      <c r="I43" s="6">
        <v>0</v>
      </c>
      <c r="J43" s="6">
        <v>1194079963</v>
      </c>
      <c r="K43" s="7">
        <v>0.99626000000000003</v>
      </c>
      <c r="L43" s="6">
        <f t="shared" si="1"/>
        <v>22095.815454932366</v>
      </c>
    </row>
    <row r="44" spans="1:12" x14ac:dyDescent="0.25">
      <c r="A44" s="2" t="s">
        <v>118</v>
      </c>
      <c r="B44" s="2" t="s">
        <v>119</v>
      </c>
      <c r="C44" s="2" t="s">
        <v>120</v>
      </c>
      <c r="D44" s="3">
        <v>48663</v>
      </c>
      <c r="E44" s="3">
        <v>3513</v>
      </c>
      <c r="F44" s="3">
        <v>155</v>
      </c>
      <c r="G44" s="3">
        <v>52331</v>
      </c>
      <c r="H44" s="3">
        <v>12907078</v>
      </c>
      <c r="I44" s="3">
        <v>222483243</v>
      </c>
      <c r="J44" s="3">
        <v>235390321</v>
      </c>
      <c r="K44" s="4">
        <v>0.29526999999999998</v>
      </c>
      <c r="L44" s="3">
        <f t="shared" si="1"/>
        <v>4498.1047753721505</v>
      </c>
    </row>
    <row r="45" spans="1:12" x14ac:dyDescent="0.25">
      <c r="A45" s="5" t="s">
        <v>121</v>
      </c>
      <c r="B45" s="5" t="s">
        <v>122</v>
      </c>
      <c r="C45" s="5" t="s">
        <v>14</v>
      </c>
      <c r="D45" s="6">
        <v>46701</v>
      </c>
      <c r="E45" s="6">
        <v>1064</v>
      </c>
      <c r="F45" s="6">
        <v>247</v>
      </c>
      <c r="G45" s="6">
        <v>48012</v>
      </c>
      <c r="H45" s="6">
        <v>727229572</v>
      </c>
      <c r="I45" s="6">
        <v>0</v>
      </c>
      <c r="J45" s="6">
        <v>727229572</v>
      </c>
      <c r="K45" s="7">
        <v>0.52905999999999997</v>
      </c>
      <c r="L45" s="6">
        <f t="shared" si="1"/>
        <v>15146.829375989337</v>
      </c>
    </row>
    <row r="46" spans="1:12" x14ac:dyDescent="0.25">
      <c r="A46" s="2" t="s">
        <v>123</v>
      </c>
      <c r="B46" s="2" t="s">
        <v>124</v>
      </c>
      <c r="C46" s="2" t="s">
        <v>48</v>
      </c>
      <c r="D46" s="3">
        <v>44760</v>
      </c>
      <c r="E46" s="3">
        <v>206</v>
      </c>
      <c r="F46" s="3">
        <v>1180</v>
      </c>
      <c r="G46" s="3">
        <v>46146</v>
      </c>
      <c r="H46" s="3">
        <v>515889217</v>
      </c>
      <c r="I46" s="3">
        <v>0</v>
      </c>
      <c r="J46" s="3">
        <v>515889217</v>
      </c>
      <c r="K46" s="4">
        <v>0.89037999999999995</v>
      </c>
      <c r="L46" s="3">
        <f t="shared" si="1"/>
        <v>11179.500216703505</v>
      </c>
    </row>
    <row r="47" spans="1:12" x14ac:dyDescent="0.25">
      <c r="A47" s="5" t="s">
        <v>125</v>
      </c>
      <c r="B47" s="5" t="s">
        <v>126</v>
      </c>
      <c r="C47" s="5" t="s">
        <v>14</v>
      </c>
      <c r="D47" s="6">
        <v>38873</v>
      </c>
      <c r="E47" s="6">
        <v>783</v>
      </c>
      <c r="F47" s="6">
        <v>370</v>
      </c>
      <c r="G47" s="6">
        <v>40026</v>
      </c>
      <c r="H47" s="6">
        <v>1335651252</v>
      </c>
      <c r="I47" s="6">
        <v>0</v>
      </c>
      <c r="J47" s="6">
        <v>1335651252</v>
      </c>
      <c r="K47" s="7">
        <v>0.98616000000000004</v>
      </c>
      <c r="L47" s="6">
        <f t="shared" si="1"/>
        <v>33369.591065807224</v>
      </c>
    </row>
    <row r="48" spans="1:12" x14ac:dyDescent="0.25">
      <c r="A48" s="2" t="s">
        <v>127</v>
      </c>
      <c r="B48" s="2" t="s">
        <v>128</v>
      </c>
      <c r="C48" s="2" t="s">
        <v>129</v>
      </c>
      <c r="D48" s="3">
        <v>36950</v>
      </c>
      <c r="E48" s="3">
        <v>558</v>
      </c>
      <c r="F48" s="3">
        <v>350</v>
      </c>
      <c r="G48" s="3">
        <v>37858</v>
      </c>
      <c r="H48" s="3">
        <v>296007718</v>
      </c>
      <c r="I48" s="3">
        <v>0</v>
      </c>
      <c r="J48" s="3">
        <v>296007718</v>
      </c>
      <c r="K48" s="4">
        <v>0.42046</v>
      </c>
      <c r="L48" s="3">
        <f t="shared" si="1"/>
        <v>7818.8947646468378</v>
      </c>
    </row>
    <row r="49" spans="1:12" x14ac:dyDescent="0.25">
      <c r="A49" s="5" t="s">
        <v>130</v>
      </c>
      <c r="B49" s="5" t="s">
        <v>131</v>
      </c>
      <c r="C49" s="5" t="s">
        <v>20</v>
      </c>
      <c r="D49" s="6">
        <v>36802</v>
      </c>
      <c r="E49" s="6">
        <v>298</v>
      </c>
      <c r="F49" s="6">
        <v>318</v>
      </c>
      <c r="G49" s="6">
        <v>37418</v>
      </c>
      <c r="H49" s="6">
        <v>373751274</v>
      </c>
      <c r="I49" s="6">
        <v>0</v>
      </c>
      <c r="J49" s="6">
        <v>373751274</v>
      </c>
      <c r="K49" s="7">
        <v>0.6795699999999999</v>
      </c>
      <c r="L49" s="6">
        <f t="shared" si="1"/>
        <v>9988.5422523918969</v>
      </c>
    </row>
    <row r="50" spans="1:12" x14ac:dyDescent="0.25">
      <c r="A50" s="2" t="s">
        <v>132</v>
      </c>
      <c r="B50" s="2" t="s">
        <v>133</v>
      </c>
      <c r="C50" s="2" t="s">
        <v>20</v>
      </c>
      <c r="D50" s="3">
        <v>32805</v>
      </c>
      <c r="E50" s="3">
        <v>185</v>
      </c>
      <c r="F50" s="3">
        <v>820</v>
      </c>
      <c r="G50" s="3">
        <v>33810</v>
      </c>
      <c r="H50" s="3">
        <v>275619506</v>
      </c>
      <c r="I50" s="3">
        <v>0</v>
      </c>
      <c r="J50" s="3">
        <v>275619506</v>
      </c>
      <c r="K50" s="4">
        <v>0.54835</v>
      </c>
      <c r="L50" s="3">
        <f t="shared" si="1"/>
        <v>8152.0114167406091</v>
      </c>
    </row>
    <row r="51" spans="1:12" x14ac:dyDescent="0.25">
      <c r="A51" s="5" t="s">
        <v>134</v>
      </c>
      <c r="B51" s="5" t="s">
        <v>135</v>
      </c>
      <c r="C51" s="5" t="s">
        <v>103</v>
      </c>
      <c r="D51" s="6">
        <v>31504</v>
      </c>
      <c r="E51" s="6">
        <v>263</v>
      </c>
      <c r="F51" s="6">
        <v>1051</v>
      </c>
      <c r="G51" s="6">
        <v>32818</v>
      </c>
      <c r="H51" s="6">
        <v>1406822230</v>
      </c>
      <c r="I51" s="6">
        <v>0</v>
      </c>
      <c r="J51" s="6">
        <v>1406822230</v>
      </c>
      <c r="K51" s="7">
        <v>0.75683000000000011</v>
      </c>
      <c r="L51" s="6">
        <f t="shared" si="1"/>
        <v>42867.396855384242</v>
      </c>
    </row>
    <row r="52" spans="1:12" x14ac:dyDescent="0.25">
      <c r="A52" s="2" t="s">
        <v>136</v>
      </c>
      <c r="B52" s="2" t="s">
        <v>137</v>
      </c>
      <c r="C52" s="2" t="s">
        <v>51</v>
      </c>
      <c r="D52" s="3">
        <v>29246</v>
      </c>
      <c r="E52" s="3">
        <v>334</v>
      </c>
      <c r="F52" s="3">
        <v>1028</v>
      </c>
      <c r="G52" s="3">
        <v>30608</v>
      </c>
      <c r="H52" s="3">
        <v>1067930953</v>
      </c>
      <c r="I52" s="3">
        <v>0</v>
      </c>
      <c r="J52" s="3">
        <v>1067930953</v>
      </c>
      <c r="K52" s="4">
        <v>0.95706000000000002</v>
      </c>
      <c r="L52" s="3">
        <f t="shared" si="1"/>
        <v>34890.582625457399</v>
      </c>
    </row>
    <row r="53" spans="1:12" x14ac:dyDescent="0.25">
      <c r="A53" s="5" t="s">
        <v>138</v>
      </c>
      <c r="B53" s="5" t="s">
        <v>139</v>
      </c>
      <c r="C53" s="5" t="s">
        <v>140</v>
      </c>
      <c r="D53" s="6">
        <v>29322</v>
      </c>
      <c r="E53" s="6">
        <v>236</v>
      </c>
      <c r="F53" s="6">
        <v>541</v>
      </c>
      <c r="G53" s="6">
        <v>30099</v>
      </c>
      <c r="H53" s="6">
        <v>123583436</v>
      </c>
      <c r="I53" s="6">
        <v>0</v>
      </c>
      <c r="J53" s="6">
        <v>123583436</v>
      </c>
      <c r="K53" s="7">
        <v>0.37175000000000002</v>
      </c>
      <c r="L53" s="6">
        <f t="shared" si="1"/>
        <v>4105.8984019402642</v>
      </c>
    </row>
    <row r="54" spans="1:12" x14ac:dyDescent="0.25">
      <c r="A54" s="2" t="s">
        <v>141</v>
      </c>
      <c r="B54" s="2" t="s">
        <v>142</v>
      </c>
      <c r="C54" s="2" t="s">
        <v>51</v>
      </c>
      <c r="D54" s="3">
        <v>27603</v>
      </c>
      <c r="E54" s="3">
        <v>301</v>
      </c>
      <c r="F54" s="3">
        <v>1058</v>
      </c>
      <c r="G54" s="3">
        <v>28962</v>
      </c>
      <c r="H54" s="3">
        <v>1002045228</v>
      </c>
      <c r="I54" s="3">
        <v>0</v>
      </c>
      <c r="J54" s="3">
        <v>1002045228</v>
      </c>
      <c r="K54" s="4">
        <v>0.44962000000000002</v>
      </c>
      <c r="L54" s="3">
        <f t="shared" si="1"/>
        <v>34598.61984669567</v>
      </c>
    </row>
    <row r="55" spans="1:12" x14ac:dyDescent="0.25">
      <c r="A55" s="5" t="s">
        <v>143</v>
      </c>
      <c r="B55" s="5" t="s">
        <v>144</v>
      </c>
      <c r="C55" s="5" t="s">
        <v>145</v>
      </c>
      <c r="D55" s="6">
        <v>27060</v>
      </c>
      <c r="E55" s="6">
        <v>11</v>
      </c>
      <c r="F55" s="6">
        <v>863</v>
      </c>
      <c r="G55" s="6">
        <v>27934</v>
      </c>
      <c r="H55" s="6">
        <v>1603651339</v>
      </c>
      <c r="I55" s="6">
        <v>0</v>
      </c>
      <c r="J55" s="6">
        <v>1603651339</v>
      </c>
      <c r="K55" s="7">
        <v>0.99563000000000001</v>
      </c>
      <c r="L55" s="6">
        <f t="shared" si="1"/>
        <v>57408.582336937063</v>
      </c>
    </row>
    <row r="56" spans="1:12" x14ac:dyDescent="0.25">
      <c r="A56" s="2" t="s">
        <v>146</v>
      </c>
      <c r="B56" s="2" t="s">
        <v>147</v>
      </c>
      <c r="C56" s="2" t="s">
        <v>148</v>
      </c>
      <c r="D56" s="3">
        <v>25446</v>
      </c>
      <c r="E56" s="3">
        <v>135</v>
      </c>
      <c r="F56" s="3">
        <v>1132</v>
      </c>
      <c r="G56" s="3">
        <v>26713</v>
      </c>
      <c r="H56" s="3">
        <v>322143505</v>
      </c>
      <c r="I56" s="3">
        <v>0</v>
      </c>
      <c r="J56" s="3">
        <v>322143505</v>
      </c>
      <c r="K56" s="4">
        <v>0.62775999999999998</v>
      </c>
      <c r="L56" s="3">
        <f t="shared" si="1"/>
        <v>12059.428181035451</v>
      </c>
    </row>
    <row r="57" spans="1:12" x14ac:dyDescent="0.25">
      <c r="A57" s="5" t="s">
        <v>149</v>
      </c>
      <c r="B57" s="5" t="s">
        <v>150</v>
      </c>
      <c r="C57" s="5" t="s">
        <v>103</v>
      </c>
      <c r="D57" s="6">
        <v>18636</v>
      </c>
      <c r="E57" s="6">
        <v>107</v>
      </c>
      <c r="F57" s="6">
        <v>328</v>
      </c>
      <c r="G57" s="6">
        <v>19071</v>
      </c>
      <c r="H57" s="6">
        <v>247852006</v>
      </c>
      <c r="I57" s="6">
        <v>0</v>
      </c>
      <c r="J57" s="6">
        <v>247852006</v>
      </c>
      <c r="K57" s="7">
        <v>0.90427999999999997</v>
      </c>
      <c r="L57" s="6">
        <f t="shared" si="1"/>
        <v>12996.277384510513</v>
      </c>
    </row>
    <row r="58" spans="1:12" x14ac:dyDescent="0.25">
      <c r="A58" s="2" t="s">
        <v>151</v>
      </c>
      <c r="B58" s="2" t="s">
        <v>152</v>
      </c>
      <c r="C58" s="2" t="s">
        <v>20</v>
      </c>
      <c r="D58" s="3">
        <v>7851</v>
      </c>
      <c r="E58" s="3">
        <v>109</v>
      </c>
      <c r="F58" s="3">
        <v>31</v>
      </c>
      <c r="G58" s="3">
        <v>7991</v>
      </c>
      <c r="H58" s="3">
        <v>367341504</v>
      </c>
      <c r="I58" s="3">
        <v>0</v>
      </c>
      <c r="J58" s="3">
        <v>367341504</v>
      </c>
      <c r="K58" s="4">
        <v>0.99670000000000003</v>
      </c>
      <c r="L58" s="3">
        <f t="shared" si="1"/>
        <v>45969.403579026402</v>
      </c>
    </row>
    <row r="59" spans="1:12" x14ac:dyDescent="0.25">
      <c r="A59" s="5" t="s">
        <v>153</v>
      </c>
      <c r="B59" s="5" t="s">
        <v>154</v>
      </c>
      <c r="C59" s="5" t="s">
        <v>48</v>
      </c>
      <c r="D59" s="6">
        <v>21</v>
      </c>
      <c r="E59" s="6">
        <v>9</v>
      </c>
      <c r="F59" s="6">
        <v>0</v>
      </c>
      <c r="G59" s="6">
        <v>30</v>
      </c>
      <c r="H59" s="6">
        <v>722</v>
      </c>
      <c r="I59" s="6">
        <v>0</v>
      </c>
      <c r="J59" s="6">
        <v>722</v>
      </c>
      <c r="K59" s="7">
        <v>7.43E-3</v>
      </c>
      <c r="L59" s="6">
        <f t="shared" si="1"/>
        <v>24.066666666666666</v>
      </c>
    </row>
    <row r="60" spans="1:12" x14ac:dyDescent="0.25">
      <c r="A60" s="2" t="s">
        <v>155</v>
      </c>
      <c r="B60" s="2" t="s">
        <v>156</v>
      </c>
      <c r="C60" s="2" t="s">
        <v>157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4">
        <v>0</v>
      </c>
      <c r="L60" s="3">
        <f t="shared" si="1"/>
        <v>0</v>
      </c>
    </row>
    <row r="61" spans="1:12" x14ac:dyDescent="0.25">
      <c r="A61" s="5" t="s">
        <v>158</v>
      </c>
      <c r="B61" s="5" t="s">
        <v>159</v>
      </c>
      <c r="C61" s="5" t="s">
        <v>160</v>
      </c>
      <c r="D61" s="6">
        <v>0</v>
      </c>
      <c r="E61" s="6">
        <v>1</v>
      </c>
      <c r="F61" s="6">
        <v>0</v>
      </c>
      <c r="G61" s="6">
        <v>1</v>
      </c>
      <c r="H61" s="6">
        <v>0</v>
      </c>
      <c r="I61" s="6">
        <v>0</v>
      </c>
      <c r="J61" s="6">
        <v>0</v>
      </c>
      <c r="K61" s="7">
        <v>0</v>
      </c>
      <c r="L61" s="6">
        <f t="shared" si="1"/>
        <v>0</v>
      </c>
    </row>
    <row r="62" spans="1:12" x14ac:dyDescent="0.25">
      <c r="A62" s="2" t="s">
        <v>161</v>
      </c>
      <c r="B62" s="2" t="s">
        <v>162</v>
      </c>
      <c r="C62" s="2" t="s">
        <v>51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0</v>
      </c>
      <c r="J62" s="3">
        <v>0</v>
      </c>
      <c r="K62" s="4">
        <v>0</v>
      </c>
      <c r="L62" s="3">
        <f t="shared" si="1"/>
        <v>0</v>
      </c>
    </row>
    <row r="63" spans="1:12" x14ac:dyDescent="0.25">
      <c r="A63" s="5" t="s">
        <v>163</v>
      </c>
      <c r="B63" s="5" t="s">
        <v>164</v>
      </c>
      <c r="C63" s="5" t="s">
        <v>165</v>
      </c>
      <c r="D63" s="6">
        <v>0</v>
      </c>
      <c r="E63" s="6">
        <v>1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7">
        <v>0</v>
      </c>
      <c r="L63" s="6">
        <f t="shared" si="1"/>
        <v>0</v>
      </c>
    </row>
    <row r="65" spans="1:12" x14ac:dyDescent="0.25">
      <c r="A65" s="8" t="s">
        <v>166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8" t="s">
        <v>167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8" t="s">
        <v>168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8" t="s">
        <v>169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8" t="s">
        <v>170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</sheetData>
  <autoFilter ref="A1:L63" xr:uid="{00000000-0009-0000-0000-000000000000}"/>
  <mergeCells count="5">
    <mergeCell ref="A68:L68"/>
    <mergeCell ref="A66:L66"/>
    <mergeCell ref="A67:L67"/>
    <mergeCell ref="A69:L69"/>
    <mergeCell ref="A65:L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4" customWidth="1"/>
    <col min="3" max="3" width="12" customWidth="1"/>
    <col min="4" max="6" width="14" customWidth="1"/>
    <col min="7" max="7" width="13" customWidth="1"/>
    <col min="8" max="10" width="16" customWidth="1"/>
    <col min="11" max="11" width="10" customWidth="1"/>
    <col min="12" max="12" width="13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15</v>
      </c>
      <c r="B2" s="2" t="s">
        <v>16</v>
      </c>
      <c r="C2" s="2" t="s">
        <v>171</v>
      </c>
      <c r="D2" s="3">
        <v>328986</v>
      </c>
      <c r="E2" s="3">
        <v>4976</v>
      </c>
      <c r="F2" s="3">
        <v>2109</v>
      </c>
      <c r="G2" s="3">
        <v>336071</v>
      </c>
      <c r="H2" s="3">
        <v>2708734869</v>
      </c>
      <c r="I2" s="3">
        <v>4332323046</v>
      </c>
      <c r="J2" s="3">
        <v>7041057915</v>
      </c>
      <c r="K2" s="4">
        <v>0.53977200000000003</v>
      </c>
      <c r="L2" s="3">
        <f t="shared" ref="L2:L10" si="0">IFERROR(J2/G2,"")</f>
        <v>20951.102341469512</v>
      </c>
    </row>
    <row r="3" spans="1:12" x14ac:dyDescent="0.25">
      <c r="A3" s="5" t="s">
        <v>15</v>
      </c>
      <c r="B3" s="5" t="s">
        <v>16</v>
      </c>
      <c r="C3" s="5" t="s">
        <v>172</v>
      </c>
      <c r="D3" s="6">
        <v>373367</v>
      </c>
      <c r="E3" s="6">
        <v>4704</v>
      </c>
      <c r="F3" s="6">
        <v>2603</v>
      </c>
      <c r="G3" s="6">
        <v>380674</v>
      </c>
      <c r="H3" s="6">
        <v>2949857480</v>
      </c>
      <c r="I3" s="6">
        <v>4520185835</v>
      </c>
      <c r="J3" s="6">
        <v>7470043315</v>
      </c>
      <c r="K3" s="7">
        <v>0.57265999999999995</v>
      </c>
      <c r="L3" s="6">
        <f t="shared" si="0"/>
        <v>19623.20335772866</v>
      </c>
    </row>
    <row r="4" spans="1:12" x14ac:dyDescent="0.25">
      <c r="A4" s="2" t="s">
        <v>15</v>
      </c>
      <c r="B4" s="2" t="s">
        <v>16</v>
      </c>
      <c r="C4" s="2" t="s">
        <v>173</v>
      </c>
      <c r="D4" s="3">
        <v>760785</v>
      </c>
      <c r="E4" s="3">
        <v>7212</v>
      </c>
      <c r="F4" s="3">
        <v>2712</v>
      </c>
      <c r="G4" s="3">
        <v>770709</v>
      </c>
      <c r="H4" s="3">
        <v>3684060179</v>
      </c>
      <c r="I4" s="3">
        <v>4566457037</v>
      </c>
      <c r="J4" s="3">
        <v>8250517216</v>
      </c>
      <c r="K4" s="4">
        <v>0.63249</v>
      </c>
      <c r="L4" s="3">
        <f t="shared" si="0"/>
        <v>10705.100389381725</v>
      </c>
    </row>
    <row r="5" spans="1:12" x14ac:dyDescent="0.25">
      <c r="A5" s="5" t="s">
        <v>15</v>
      </c>
      <c r="B5" s="5" t="s">
        <v>16</v>
      </c>
      <c r="C5" s="5" t="s">
        <v>174</v>
      </c>
      <c r="D5" s="6">
        <v>719683</v>
      </c>
      <c r="E5" s="6">
        <v>6665</v>
      </c>
      <c r="F5" s="6">
        <v>2693</v>
      </c>
      <c r="G5" s="6">
        <v>729041</v>
      </c>
      <c r="H5" s="6">
        <v>3684060179</v>
      </c>
      <c r="I5" s="6">
        <v>4566442248</v>
      </c>
      <c r="J5" s="6">
        <v>8250502427</v>
      </c>
      <c r="K5" s="7">
        <v>0.63250300000000004</v>
      </c>
      <c r="L5" s="6">
        <f t="shared" si="0"/>
        <v>11316.925148242692</v>
      </c>
    </row>
    <row r="6" spans="1:12" x14ac:dyDescent="0.25">
      <c r="A6" s="2" t="s">
        <v>15</v>
      </c>
      <c r="B6" s="2" t="s">
        <v>16</v>
      </c>
      <c r="C6" s="2" t="s">
        <v>175</v>
      </c>
      <c r="D6" s="3">
        <v>858992</v>
      </c>
      <c r="E6" s="3">
        <v>5807</v>
      </c>
      <c r="F6" s="3">
        <v>2748</v>
      </c>
      <c r="G6" s="3">
        <v>867547</v>
      </c>
      <c r="H6" s="3">
        <v>3701760571</v>
      </c>
      <c r="I6" s="3">
        <v>4566511125</v>
      </c>
      <c r="J6" s="3">
        <v>8268271696</v>
      </c>
      <c r="K6" s="4">
        <v>0.63385100000000005</v>
      </c>
      <c r="L6" s="3">
        <f t="shared" si="0"/>
        <v>9530.6325720681416</v>
      </c>
    </row>
    <row r="7" spans="1:12" x14ac:dyDescent="0.25">
      <c r="A7" s="5" t="s">
        <v>15</v>
      </c>
      <c r="B7" s="5" t="s">
        <v>16</v>
      </c>
      <c r="C7" s="5" t="s">
        <v>176</v>
      </c>
      <c r="D7" s="6">
        <v>861524</v>
      </c>
      <c r="E7" s="6">
        <v>5184</v>
      </c>
      <c r="F7" s="6">
        <v>2592</v>
      </c>
      <c r="G7" s="6">
        <v>869300</v>
      </c>
      <c r="H7" s="6">
        <v>3701760571</v>
      </c>
      <c r="I7" s="6">
        <v>4566445852</v>
      </c>
      <c r="J7" s="6">
        <v>8268206423</v>
      </c>
      <c r="K7" s="7">
        <v>0.63385000000000002</v>
      </c>
      <c r="L7" s="6">
        <f t="shared" si="0"/>
        <v>9511.3383446451171</v>
      </c>
    </row>
    <row r="8" spans="1:12" x14ac:dyDescent="0.25">
      <c r="A8" s="2" t="s">
        <v>15</v>
      </c>
      <c r="B8" s="2" t="s">
        <v>16</v>
      </c>
      <c r="C8" s="2" t="s">
        <v>177</v>
      </c>
      <c r="D8" s="3">
        <v>905484</v>
      </c>
      <c r="E8" s="3">
        <v>5344</v>
      </c>
      <c r="F8" s="3">
        <v>2372</v>
      </c>
      <c r="G8" s="3">
        <v>913200</v>
      </c>
      <c r="H8" s="3">
        <v>3483155534</v>
      </c>
      <c r="I8" s="3">
        <v>4410955873</v>
      </c>
      <c r="J8" s="3">
        <v>7894111407</v>
      </c>
      <c r="K8" s="4">
        <v>0.61248000000000002</v>
      </c>
      <c r="L8" s="3">
        <f t="shared" si="0"/>
        <v>8644.4496353482264</v>
      </c>
    </row>
    <row r="9" spans="1:12" x14ac:dyDescent="0.25">
      <c r="A9" s="5" t="s">
        <v>15</v>
      </c>
      <c r="B9" s="5" t="s">
        <v>16</v>
      </c>
      <c r="C9" s="5" t="s">
        <v>178</v>
      </c>
      <c r="D9" s="6">
        <v>1112256</v>
      </c>
      <c r="E9" s="6">
        <v>5892</v>
      </c>
      <c r="F9" s="6">
        <v>2656</v>
      </c>
      <c r="G9" s="6">
        <v>1120804</v>
      </c>
      <c r="H9" s="6">
        <v>3478483761</v>
      </c>
      <c r="I9" s="6">
        <v>4410960450</v>
      </c>
      <c r="J9" s="6">
        <v>7889444211</v>
      </c>
      <c r="K9" s="7">
        <v>0.61212</v>
      </c>
      <c r="L9" s="6">
        <f t="shared" si="0"/>
        <v>7039.0935533777538</v>
      </c>
    </row>
    <row r="10" spans="1:12" x14ac:dyDescent="0.25">
      <c r="A10" s="2" t="s">
        <v>15</v>
      </c>
      <c r="B10" s="2" t="s">
        <v>16</v>
      </c>
      <c r="C10" s="2" t="s">
        <v>17</v>
      </c>
      <c r="D10" s="3">
        <v>1175160</v>
      </c>
      <c r="E10" s="3">
        <v>5987</v>
      </c>
      <c r="F10" s="3">
        <v>2628</v>
      </c>
      <c r="G10" s="3">
        <v>1183775</v>
      </c>
      <c r="H10" s="3">
        <v>3478479815</v>
      </c>
      <c r="I10" s="3">
        <v>4410957710</v>
      </c>
      <c r="J10" s="3">
        <v>7889437525</v>
      </c>
      <c r="K10" s="4">
        <v>0.61212</v>
      </c>
      <c r="L10" s="3">
        <f t="shared" si="0"/>
        <v>6664.6427952947142</v>
      </c>
    </row>
    <row r="12" spans="1:12" x14ac:dyDescent="0.25">
      <c r="A12" s="8" t="s">
        <v>166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8" t="s">
        <v>167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8" t="s">
        <v>168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8" t="s">
        <v>169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8" t="s">
        <v>170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</sheetData>
  <autoFilter ref="A1:L10" xr:uid="{00000000-0009-0000-0000-000001000000}"/>
  <mergeCells count="5">
    <mergeCell ref="A16:L16"/>
    <mergeCell ref="A15:L15"/>
    <mergeCell ref="A13:L13"/>
    <mergeCell ref="A14:L14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4" customWidth="1"/>
    <col min="3" max="3" width="12" customWidth="1"/>
    <col min="4" max="6" width="14" customWidth="1"/>
    <col min="7" max="7" width="13" customWidth="1"/>
    <col min="8" max="10" width="16" customWidth="1"/>
    <col min="11" max="11" width="10" customWidth="1"/>
    <col min="12" max="12" width="13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52</v>
      </c>
      <c r="B2" s="2" t="s">
        <v>53</v>
      </c>
      <c r="C2" s="2" t="s">
        <v>179</v>
      </c>
      <c r="D2" s="3">
        <v>110713</v>
      </c>
      <c r="E2" s="3">
        <v>1919</v>
      </c>
      <c r="F2" s="3">
        <v>756</v>
      </c>
      <c r="G2" s="3">
        <v>113388</v>
      </c>
      <c r="H2" s="3">
        <v>4343742744</v>
      </c>
      <c r="I2" s="3">
        <v>0</v>
      </c>
      <c r="J2" s="3">
        <v>4343742744</v>
      </c>
      <c r="K2" s="4">
        <v>0.2762</v>
      </c>
      <c r="L2" s="3">
        <f t="shared" ref="L2:L65" si="0">IFERROR(J2/G2,"")</f>
        <v>38308.663562281719</v>
      </c>
    </row>
    <row r="3" spans="1:12" x14ac:dyDescent="0.25">
      <c r="A3" s="5" t="s">
        <v>52</v>
      </c>
      <c r="B3" s="5" t="s">
        <v>53</v>
      </c>
      <c r="C3" s="5" t="s">
        <v>172</v>
      </c>
      <c r="D3" s="6">
        <v>137794</v>
      </c>
      <c r="E3" s="6">
        <v>2014</v>
      </c>
      <c r="F3" s="6">
        <v>695</v>
      </c>
      <c r="G3" s="6">
        <v>140503</v>
      </c>
      <c r="H3" s="6">
        <v>4354228928</v>
      </c>
      <c r="I3" s="6">
        <v>0</v>
      </c>
      <c r="J3" s="6">
        <v>4354228928</v>
      </c>
      <c r="K3" s="7">
        <v>0.2767</v>
      </c>
      <c r="L3" s="6">
        <f t="shared" si="0"/>
        <v>30990.291509789826</v>
      </c>
    </row>
    <row r="4" spans="1:12" x14ac:dyDescent="0.25">
      <c r="A4" s="2" t="s">
        <v>52</v>
      </c>
      <c r="B4" s="2" t="s">
        <v>53</v>
      </c>
      <c r="C4" s="2" t="s">
        <v>180</v>
      </c>
      <c r="D4" s="3">
        <v>328334</v>
      </c>
      <c r="E4" s="3">
        <v>2072</v>
      </c>
      <c r="F4" s="3">
        <v>670</v>
      </c>
      <c r="G4" s="3">
        <v>331076</v>
      </c>
      <c r="H4" s="3">
        <v>4358542894</v>
      </c>
      <c r="I4" s="3">
        <v>0</v>
      </c>
      <c r="J4" s="3">
        <v>4358542894</v>
      </c>
      <c r="K4" s="4">
        <v>0.27689999999999998</v>
      </c>
      <c r="L4" s="3">
        <f t="shared" si="0"/>
        <v>13164.780576061086</v>
      </c>
    </row>
    <row r="5" spans="1:12" x14ac:dyDescent="0.25">
      <c r="A5" s="5" t="s">
        <v>52</v>
      </c>
      <c r="B5" s="5" t="s">
        <v>53</v>
      </c>
      <c r="C5" s="5" t="s">
        <v>181</v>
      </c>
      <c r="D5" s="6">
        <v>362659</v>
      </c>
      <c r="E5" s="6">
        <v>2002</v>
      </c>
      <c r="F5" s="6">
        <v>695</v>
      </c>
      <c r="G5" s="6">
        <v>365356</v>
      </c>
      <c r="H5" s="6">
        <v>4386662901</v>
      </c>
      <c r="I5" s="6">
        <v>0</v>
      </c>
      <c r="J5" s="6">
        <v>4386662901</v>
      </c>
      <c r="K5" s="7">
        <v>0.27850000000000003</v>
      </c>
      <c r="L5" s="6">
        <f t="shared" si="0"/>
        <v>12006.544031027272</v>
      </c>
    </row>
    <row r="6" spans="1:12" x14ac:dyDescent="0.25">
      <c r="A6" s="2" t="s">
        <v>52</v>
      </c>
      <c r="B6" s="2" t="s">
        <v>53</v>
      </c>
      <c r="C6" s="2" t="s">
        <v>182</v>
      </c>
      <c r="D6" s="3">
        <v>308094</v>
      </c>
      <c r="E6" s="3">
        <v>1897</v>
      </c>
      <c r="F6" s="3">
        <v>652</v>
      </c>
      <c r="G6" s="3">
        <v>310643</v>
      </c>
      <c r="H6" s="3">
        <v>4394245879</v>
      </c>
      <c r="I6" s="3">
        <v>0</v>
      </c>
      <c r="J6" s="3">
        <v>4394245879</v>
      </c>
      <c r="K6" s="4">
        <v>0.27893200000000001</v>
      </c>
      <c r="L6" s="3">
        <f t="shared" si="0"/>
        <v>14145.645898990158</v>
      </c>
    </row>
    <row r="7" spans="1:12" x14ac:dyDescent="0.25">
      <c r="A7" s="5" t="s">
        <v>52</v>
      </c>
      <c r="B7" s="5" t="s">
        <v>53</v>
      </c>
      <c r="C7" s="5" t="s">
        <v>182</v>
      </c>
      <c r="D7" s="6">
        <v>308094</v>
      </c>
      <c r="E7" s="6">
        <v>1897</v>
      </c>
      <c r="F7" s="6">
        <v>652</v>
      </c>
      <c r="G7" s="6">
        <v>310643</v>
      </c>
      <c r="H7" s="6">
        <v>4394245879</v>
      </c>
      <c r="I7" s="6">
        <v>0</v>
      </c>
      <c r="J7" s="6">
        <v>4394245879</v>
      </c>
      <c r="K7" s="7">
        <v>0.27886</v>
      </c>
      <c r="L7" s="6">
        <f t="shared" si="0"/>
        <v>14145.645898990158</v>
      </c>
    </row>
    <row r="8" spans="1:12" x14ac:dyDescent="0.25">
      <c r="A8" s="2" t="s">
        <v>52</v>
      </c>
      <c r="B8" s="2" t="s">
        <v>53</v>
      </c>
      <c r="C8" s="2" t="s">
        <v>183</v>
      </c>
      <c r="D8" s="3">
        <v>286411</v>
      </c>
      <c r="E8" s="3">
        <v>1842</v>
      </c>
      <c r="F8" s="3">
        <v>603</v>
      </c>
      <c r="G8" s="3">
        <v>288856</v>
      </c>
      <c r="H8" s="3">
        <v>4394835131</v>
      </c>
      <c r="I8" s="3">
        <v>0</v>
      </c>
      <c r="J8" s="3">
        <v>4394835131</v>
      </c>
      <c r="K8" s="4">
        <v>0.27883000000000002</v>
      </c>
      <c r="L8" s="3">
        <f t="shared" si="0"/>
        <v>15214.622964383638</v>
      </c>
    </row>
    <row r="9" spans="1:12" x14ac:dyDescent="0.25">
      <c r="A9" s="5" t="s">
        <v>52</v>
      </c>
      <c r="B9" s="5" t="s">
        <v>53</v>
      </c>
      <c r="C9" s="5" t="s">
        <v>184</v>
      </c>
      <c r="D9" s="6">
        <v>242733</v>
      </c>
      <c r="E9" s="6">
        <v>1880</v>
      </c>
      <c r="F9" s="6">
        <v>557</v>
      </c>
      <c r="G9" s="6">
        <v>245170</v>
      </c>
      <c r="H9" s="6">
        <v>4273841357</v>
      </c>
      <c r="I9" s="6">
        <v>0</v>
      </c>
      <c r="J9" s="6">
        <v>4273841357</v>
      </c>
      <c r="K9" s="7">
        <v>0.27115</v>
      </c>
      <c r="L9" s="6">
        <f t="shared" si="0"/>
        <v>17432.154655953011</v>
      </c>
    </row>
    <row r="10" spans="1:12" x14ac:dyDescent="0.25">
      <c r="A10" s="2" t="s">
        <v>52</v>
      </c>
      <c r="B10" s="2" t="s">
        <v>53</v>
      </c>
      <c r="C10" s="2" t="s">
        <v>54</v>
      </c>
      <c r="D10" s="3">
        <v>210589</v>
      </c>
      <c r="E10" s="3">
        <v>1959</v>
      </c>
      <c r="F10" s="3">
        <v>539</v>
      </c>
      <c r="G10" s="3">
        <v>213087</v>
      </c>
      <c r="H10" s="3">
        <v>4043349180</v>
      </c>
      <c r="I10" s="3">
        <v>0</v>
      </c>
      <c r="J10" s="3">
        <v>4043349180</v>
      </c>
      <c r="K10" s="4">
        <v>0.26112000000000002</v>
      </c>
      <c r="L10" s="3">
        <f t="shared" si="0"/>
        <v>18975.109603119854</v>
      </c>
    </row>
    <row r="11" spans="1:12" x14ac:dyDescent="0.25">
      <c r="A11" s="5" t="s">
        <v>69</v>
      </c>
      <c r="B11" s="5" t="s">
        <v>70</v>
      </c>
      <c r="C11" s="5" t="s">
        <v>185</v>
      </c>
      <c r="D11" s="6">
        <v>1514</v>
      </c>
      <c r="E11" s="6">
        <v>22</v>
      </c>
      <c r="F11" s="6">
        <v>115</v>
      </c>
      <c r="G11" s="6">
        <v>1651</v>
      </c>
      <c r="H11" s="6">
        <v>20171465</v>
      </c>
      <c r="I11" s="6">
        <v>0</v>
      </c>
      <c r="J11" s="6">
        <v>20171465</v>
      </c>
      <c r="K11" s="7">
        <v>0.26394000000000001</v>
      </c>
      <c r="L11" s="6">
        <f t="shared" si="0"/>
        <v>12217.725620835858</v>
      </c>
    </row>
    <row r="12" spans="1:12" x14ac:dyDescent="0.25">
      <c r="A12" s="2" t="s">
        <v>69</v>
      </c>
      <c r="B12" s="2" t="s">
        <v>70</v>
      </c>
      <c r="C12" s="2" t="s">
        <v>186</v>
      </c>
      <c r="D12" s="3">
        <v>4682</v>
      </c>
      <c r="E12" s="3">
        <v>12</v>
      </c>
      <c r="F12" s="3">
        <v>451</v>
      </c>
      <c r="G12" s="3">
        <v>5145</v>
      </c>
      <c r="H12" s="3">
        <v>127374163</v>
      </c>
      <c r="I12" s="3">
        <v>0</v>
      </c>
      <c r="J12" s="3">
        <v>127374163</v>
      </c>
      <c r="K12" s="4">
        <v>0.47925962999999999</v>
      </c>
      <c r="L12" s="3">
        <f t="shared" si="0"/>
        <v>24756.88299319728</v>
      </c>
    </row>
    <row r="13" spans="1:12" x14ac:dyDescent="0.25">
      <c r="A13" s="5" t="s">
        <v>69</v>
      </c>
      <c r="B13" s="5" t="s">
        <v>70</v>
      </c>
      <c r="C13" s="5" t="s">
        <v>187</v>
      </c>
      <c r="D13" s="6">
        <v>9375</v>
      </c>
      <c r="E13" s="6">
        <v>18</v>
      </c>
      <c r="F13" s="6">
        <v>559</v>
      </c>
      <c r="G13" s="6">
        <v>9952</v>
      </c>
      <c r="H13" s="6">
        <v>127376805</v>
      </c>
      <c r="I13" s="6">
        <v>0</v>
      </c>
      <c r="J13" s="6">
        <v>127376805</v>
      </c>
      <c r="K13" s="7">
        <v>0.47926956999999998</v>
      </c>
      <c r="L13" s="6">
        <f t="shared" si="0"/>
        <v>12799.116258038584</v>
      </c>
    </row>
    <row r="14" spans="1:12" x14ac:dyDescent="0.25">
      <c r="A14" s="2" t="s">
        <v>69</v>
      </c>
      <c r="B14" s="2" t="s">
        <v>70</v>
      </c>
      <c r="C14" s="2" t="s">
        <v>188</v>
      </c>
      <c r="D14" s="3">
        <v>38078</v>
      </c>
      <c r="E14" s="3">
        <v>134</v>
      </c>
      <c r="F14" s="3">
        <v>803</v>
      </c>
      <c r="G14" s="3">
        <v>39015</v>
      </c>
      <c r="H14" s="3">
        <v>126260263</v>
      </c>
      <c r="I14" s="3">
        <v>0</v>
      </c>
      <c r="J14" s="3">
        <v>126260263</v>
      </c>
      <c r="K14" s="4">
        <v>0.47506844999999998</v>
      </c>
      <c r="L14" s="3">
        <f t="shared" si="0"/>
        <v>3236.1979495066003</v>
      </c>
    </row>
    <row r="15" spans="1:12" x14ac:dyDescent="0.25">
      <c r="A15" s="5" t="s">
        <v>69</v>
      </c>
      <c r="B15" s="5" t="s">
        <v>70</v>
      </c>
      <c r="C15" s="5" t="s">
        <v>189</v>
      </c>
      <c r="D15" s="6">
        <v>71716</v>
      </c>
      <c r="E15" s="6">
        <v>283</v>
      </c>
      <c r="F15" s="6">
        <v>1260</v>
      </c>
      <c r="G15" s="6">
        <v>73259</v>
      </c>
      <c r="H15" s="6">
        <v>532365440</v>
      </c>
      <c r="I15" s="6">
        <v>0</v>
      </c>
      <c r="J15" s="6">
        <v>532365440</v>
      </c>
      <c r="K15" s="7">
        <v>0.92756788000000001</v>
      </c>
      <c r="L15" s="6">
        <f t="shared" si="0"/>
        <v>7266.8947160075895</v>
      </c>
    </row>
    <row r="16" spans="1:12" x14ac:dyDescent="0.25">
      <c r="A16" s="2" t="s">
        <v>69</v>
      </c>
      <c r="B16" s="2" t="s">
        <v>70</v>
      </c>
      <c r="C16" s="2" t="s">
        <v>190</v>
      </c>
      <c r="D16" s="3">
        <v>66976</v>
      </c>
      <c r="E16" s="3">
        <v>373</v>
      </c>
      <c r="F16" s="3">
        <v>1137</v>
      </c>
      <c r="G16" s="3">
        <v>68486</v>
      </c>
      <c r="H16" s="3">
        <v>532616595</v>
      </c>
      <c r="I16" s="3">
        <v>0</v>
      </c>
      <c r="J16" s="3">
        <v>532616595</v>
      </c>
      <c r="K16" s="4">
        <v>0.92801</v>
      </c>
      <c r="L16" s="3">
        <f t="shared" si="0"/>
        <v>7777.0142072832405</v>
      </c>
    </row>
    <row r="17" spans="1:12" x14ac:dyDescent="0.25">
      <c r="A17" s="5" t="s">
        <v>69</v>
      </c>
      <c r="B17" s="5" t="s">
        <v>70</v>
      </c>
      <c r="C17" s="5" t="s">
        <v>191</v>
      </c>
      <c r="D17" s="6">
        <v>52431</v>
      </c>
      <c r="E17" s="6">
        <v>333</v>
      </c>
      <c r="F17" s="6">
        <v>1030</v>
      </c>
      <c r="G17" s="6">
        <v>53794</v>
      </c>
      <c r="H17" s="6">
        <v>469009144</v>
      </c>
      <c r="I17" s="6">
        <v>0</v>
      </c>
      <c r="J17" s="6">
        <v>469009144</v>
      </c>
      <c r="K17" s="7">
        <v>0.86384000000000005</v>
      </c>
      <c r="L17" s="6">
        <f t="shared" si="0"/>
        <v>8718.614417964829</v>
      </c>
    </row>
    <row r="18" spans="1:12" x14ac:dyDescent="0.25">
      <c r="A18" s="2" t="s">
        <v>69</v>
      </c>
      <c r="B18" s="2" t="s">
        <v>70</v>
      </c>
      <c r="C18" s="2" t="s">
        <v>103</v>
      </c>
      <c r="D18" s="3">
        <v>105961</v>
      </c>
      <c r="E18" s="3">
        <v>899</v>
      </c>
      <c r="F18" s="3">
        <v>1338</v>
      </c>
      <c r="G18" s="3">
        <v>108198</v>
      </c>
      <c r="H18" s="3">
        <v>478558715</v>
      </c>
      <c r="I18" s="3">
        <v>0</v>
      </c>
      <c r="J18" s="3">
        <v>478558715</v>
      </c>
      <c r="K18" s="4">
        <v>0.94917000000000007</v>
      </c>
      <c r="L18" s="3">
        <f t="shared" si="0"/>
        <v>4422.9903972346992</v>
      </c>
    </row>
    <row r="19" spans="1:12" x14ac:dyDescent="0.25">
      <c r="A19" s="5" t="s">
        <v>69</v>
      </c>
      <c r="B19" s="5" t="s">
        <v>70</v>
      </c>
      <c r="C19" s="5" t="s">
        <v>71</v>
      </c>
      <c r="D19" s="6">
        <v>117421</v>
      </c>
      <c r="E19" s="6">
        <v>1290</v>
      </c>
      <c r="F19" s="6">
        <v>1179</v>
      </c>
      <c r="G19" s="6">
        <v>119890</v>
      </c>
      <c r="H19" s="6">
        <v>478975645</v>
      </c>
      <c r="I19" s="6">
        <v>0</v>
      </c>
      <c r="J19" s="6">
        <v>478975645</v>
      </c>
      <c r="K19" s="7">
        <v>0.94999</v>
      </c>
      <c r="L19" s="6">
        <f t="shared" si="0"/>
        <v>3995.1259070814913</v>
      </c>
    </row>
    <row r="20" spans="1:12" x14ac:dyDescent="0.25">
      <c r="A20" s="2" t="s">
        <v>125</v>
      </c>
      <c r="B20" s="2" t="s">
        <v>126</v>
      </c>
      <c r="C20" s="2" t="s">
        <v>188</v>
      </c>
      <c r="D20" s="3">
        <v>0</v>
      </c>
      <c r="E20" s="3">
        <v>7</v>
      </c>
      <c r="F20" s="3">
        <v>0</v>
      </c>
      <c r="G20" s="3">
        <v>7</v>
      </c>
      <c r="H20" s="3">
        <v>157155600</v>
      </c>
      <c r="I20" s="3">
        <v>0</v>
      </c>
      <c r="J20" s="3">
        <v>157155600</v>
      </c>
      <c r="K20" s="4">
        <v>0.58560000000000001</v>
      </c>
      <c r="L20" s="3">
        <f t="shared" si="0"/>
        <v>22450800</v>
      </c>
    </row>
    <row r="21" spans="1:12" x14ac:dyDescent="0.25">
      <c r="A21" s="5" t="s">
        <v>125</v>
      </c>
      <c r="B21" s="5" t="s">
        <v>126</v>
      </c>
      <c r="C21" s="5" t="s">
        <v>192</v>
      </c>
      <c r="D21" s="6">
        <v>25453</v>
      </c>
      <c r="E21" s="6">
        <v>278</v>
      </c>
      <c r="F21" s="6">
        <v>1142</v>
      </c>
      <c r="G21" s="6">
        <v>26873</v>
      </c>
      <c r="H21" s="6">
        <v>794830286</v>
      </c>
      <c r="I21" s="6">
        <v>0</v>
      </c>
      <c r="J21" s="6">
        <v>794830286</v>
      </c>
      <c r="K21" s="7">
        <v>0.58998108999999999</v>
      </c>
      <c r="L21" s="6">
        <f t="shared" si="0"/>
        <v>29577.281509321623</v>
      </c>
    </row>
    <row r="22" spans="1:12" x14ac:dyDescent="0.25">
      <c r="A22" s="2" t="s">
        <v>125</v>
      </c>
      <c r="B22" s="2" t="s">
        <v>126</v>
      </c>
      <c r="C22" s="2" t="s">
        <v>193</v>
      </c>
      <c r="D22" s="3">
        <v>43881</v>
      </c>
      <c r="E22" s="3">
        <v>583</v>
      </c>
      <c r="F22" s="3">
        <v>1481</v>
      </c>
      <c r="G22" s="3">
        <v>45945</v>
      </c>
      <c r="H22" s="3">
        <v>935853069</v>
      </c>
      <c r="I22" s="3">
        <v>0</v>
      </c>
      <c r="J22" s="3">
        <v>935853069</v>
      </c>
      <c r="K22" s="4">
        <v>0.69362255000000006</v>
      </c>
      <c r="L22" s="3">
        <f t="shared" si="0"/>
        <v>20368.986157362062</v>
      </c>
    </row>
    <row r="23" spans="1:12" x14ac:dyDescent="0.25">
      <c r="A23" s="5" t="s">
        <v>125</v>
      </c>
      <c r="B23" s="5" t="s">
        <v>126</v>
      </c>
      <c r="C23" s="5" t="s">
        <v>194</v>
      </c>
      <c r="D23" s="6">
        <v>39799</v>
      </c>
      <c r="E23" s="6">
        <v>381</v>
      </c>
      <c r="F23" s="6">
        <v>1023</v>
      </c>
      <c r="G23" s="6">
        <v>41203</v>
      </c>
      <c r="H23" s="6">
        <v>1349217892</v>
      </c>
      <c r="I23" s="6">
        <v>0</v>
      </c>
      <c r="J23" s="6">
        <v>1349217892</v>
      </c>
      <c r="K23" s="7">
        <v>0.99807000000000001</v>
      </c>
      <c r="L23" s="6">
        <f t="shared" si="0"/>
        <v>32745.622697376406</v>
      </c>
    </row>
    <row r="24" spans="1:12" x14ac:dyDescent="0.25">
      <c r="A24" s="2" t="s">
        <v>125</v>
      </c>
      <c r="B24" s="2" t="s">
        <v>126</v>
      </c>
      <c r="C24" s="2" t="s">
        <v>195</v>
      </c>
      <c r="D24" s="3">
        <v>39608542</v>
      </c>
      <c r="E24" s="3">
        <v>6265129</v>
      </c>
      <c r="F24" s="3">
        <v>1306371514</v>
      </c>
      <c r="G24" s="3">
        <v>1352245185</v>
      </c>
      <c r="H24" s="3">
        <v>1345432701</v>
      </c>
      <c r="I24" s="3">
        <v>0</v>
      </c>
      <c r="J24" s="3">
        <v>1345432701</v>
      </c>
      <c r="K24" s="4">
        <v>0.99495999999999996</v>
      </c>
      <c r="L24" s="3">
        <f t="shared" si="0"/>
        <v>0.99496209409686309</v>
      </c>
    </row>
    <row r="25" spans="1:12" x14ac:dyDescent="0.25">
      <c r="A25" s="5" t="s">
        <v>125</v>
      </c>
      <c r="B25" s="5" t="s">
        <v>126</v>
      </c>
      <c r="C25" s="5" t="s">
        <v>14</v>
      </c>
      <c r="D25" s="6">
        <v>38873</v>
      </c>
      <c r="E25" s="6">
        <v>783</v>
      </c>
      <c r="F25" s="6">
        <v>370</v>
      </c>
      <c r="G25" s="6">
        <v>40026</v>
      </c>
      <c r="H25" s="6">
        <v>1338879379</v>
      </c>
      <c r="I25" s="6">
        <v>0</v>
      </c>
      <c r="J25" s="6">
        <v>1338879379</v>
      </c>
      <c r="K25" s="7">
        <v>0.98918000000000006</v>
      </c>
      <c r="L25" s="6">
        <f t="shared" si="0"/>
        <v>33450.241817818416</v>
      </c>
    </row>
    <row r="26" spans="1:12" x14ac:dyDescent="0.25">
      <c r="A26" s="2" t="s">
        <v>125</v>
      </c>
      <c r="B26" s="2" t="s">
        <v>126</v>
      </c>
      <c r="C26" s="2" t="s">
        <v>14</v>
      </c>
      <c r="D26" s="3">
        <v>38873</v>
      </c>
      <c r="E26" s="3">
        <v>783</v>
      </c>
      <c r="F26" s="3">
        <v>370</v>
      </c>
      <c r="G26" s="3">
        <v>40026</v>
      </c>
      <c r="H26" s="3">
        <v>1335651252</v>
      </c>
      <c r="I26" s="3">
        <v>0</v>
      </c>
      <c r="J26" s="3">
        <v>1335651252</v>
      </c>
      <c r="K26" s="4">
        <v>0.98616000000000004</v>
      </c>
      <c r="L26" s="3">
        <f t="shared" si="0"/>
        <v>33369.591065807224</v>
      </c>
    </row>
    <row r="27" spans="1:12" x14ac:dyDescent="0.25">
      <c r="A27" s="5" t="s">
        <v>151</v>
      </c>
      <c r="B27" s="5" t="s">
        <v>152</v>
      </c>
      <c r="C27" s="5" t="s">
        <v>196</v>
      </c>
      <c r="D27" s="6">
        <v>6448</v>
      </c>
      <c r="E27" s="6">
        <v>668</v>
      </c>
      <c r="F27" s="6">
        <v>49</v>
      </c>
      <c r="G27" s="6">
        <v>7165</v>
      </c>
      <c r="H27" s="6">
        <v>306558420</v>
      </c>
      <c r="I27" s="6">
        <v>316927612</v>
      </c>
      <c r="J27" s="6">
        <v>623486032</v>
      </c>
      <c r="K27" s="7">
        <v>0.49635066999999999</v>
      </c>
      <c r="L27" s="6">
        <f t="shared" si="0"/>
        <v>87018.28778785764</v>
      </c>
    </row>
    <row r="28" spans="1:12" x14ac:dyDescent="0.25">
      <c r="A28" s="2" t="s">
        <v>151</v>
      </c>
      <c r="B28" s="2" t="s">
        <v>152</v>
      </c>
      <c r="C28" s="2" t="s">
        <v>197</v>
      </c>
      <c r="D28" s="3">
        <v>86385</v>
      </c>
      <c r="E28" s="3">
        <v>1407</v>
      </c>
      <c r="F28" s="3">
        <v>79</v>
      </c>
      <c r="G28" s="3">
        <v>87871</v>
      </c>
      <c r="H28" s="3">
        <v>306558420</v>
      </c>
      <c r="I28" s="3">
        <v>326903173</v>
      </c>
      <c r="J28" s="3">
        <v>633461593</v>
      </c>
      <c r="K28" s="4">
        <v>0.50327909999999998</v>
      </c>
      <c r="L28" s="3">
        <f t="shared" si="0"/>
        <v>7208.994924377781</v>
      </c>
    </row>
    <row r="29" spans="1:12" x14ac:dyDescent="0.25">
      <c r="A29" s="5" t="s">
        <v>151</v>
      </c>
      <c r="B29" s="5" t="s">
        <v>152</v>
      </c>
      <c r="C29" s="5" t="s">
        <v>198</v>
      </c>
      <c r="D29" s="6">
        <v>189318</v>
      </c>
      <c r="E29" s="6">
        <v>1455</v>
      </c>
      <c r="F29" s="6">
        <v>56</v>
      </c>
      <c r="G29" s="6">
        <v>190829</v>
      </c>
      <c r="H29" s="6">
        <v>306558420</v>
      </c>
      <c r="I29" s="6">
        <v>327429382</v>
      </c>
      <c r="J29" s="6">
        <v>633987802</v>
      </c>
      <c r="K29" s="7">
        <v>0.50216281000000007</v>
      </c>
      <c r="L29" s="6">
        <f t="shared" si="0"/>
        <v>3322.2822631780286</v>
      </c>
    </row>
    <row r="30" spans="1:12" x14ac:dyDescent="0.25">
      <c r="A30" s="2" t="s">
        <v>151</v>
      </c>
      <c r="B30" s="2" t="s">
        <v>152</v>
      </c>
      <c r="C30" s="2" t="s">
        <v>199</v>
      </c>
      <c r="D30" s="3">
        <v>121168</v>
      </c>
      <c r="E30" s="3">
        <v>1036</v>
      </c>
      <c r="F30" s="3">
        <v>221</v>
      </c>
      <c r="G30" s="3">
        <v>122425</v>
      </c>
      <c r="H30" s="3">
        <v>306558420</v>
      </c>
      <c r="I30" s="3">
        <v>327498327</v>
      </c>
      <c r="J30" s="3">
        <v>634056747</v>
      </c>
      <c r="K30" s="4">
        <v>0.50140110000000004</v>
      </c>
      <c r="L30" s="3">
        <f t="shared" si="0"/>
        <v>5179.1443496017973</v>
      </c>
    </row>
    <row r="31" spans="1:12" x14ac:dyDescent="0.25">
      <c r="A31" s="5" t="s">
        <v>151</v>
      </c>
      <c r="B31" s="5" t="s">
        <v>152</v>
      </c>
      <c r="C31" s="5" t="s">
        <v>200</v>
      </c>
      <c r="D31" s="6">
        <v>133095</v>
      </c>
      <c r="E31" s="6">
        <v>714</v>
      </c>
      <c r="F31" s="6">
        <v>395</v>
      </c>
      <c r="G31" s="6">
        <v>134204</v>
      </c>
      <c r="H31" s="6">
        <v>306558420</v>
      </c>
      <c r="I31" s="6">
        <v>327646296</v>
      </c>
      <c r="J31" s="6">
        <v>634204716</v>
      </c>
      <c r="K31" s="7">
        <v>0.50151493999999996</v>
      </c>
      <c r="L31" s="6">
        <f t="shared" si="0"/>
        <v>4725.6767011415459</v>
      </c>
    </row>
    <row r="32" spans="1:12" x14ac:dyDescent="0.25">
      <c r="A32" s="2" t="s">
        <v>151</v>
      </c>
      <c r="B32" s="2" t="s">
        <v>152</v>
      </c>
      <c r="C32" s="2" t="s">
        <v>201</v>
      </c>
      <c r="D32" s="3">
        <v>127963</v>
      </c>
      <c r="E32" s="3">
        <v>532</v>
      </c>
      <c r="F32" s="3">
        <v>246</v>
      </c>
      <c r="G32" s="3">
        <v>128741</v>
      </c>
      <c r="H32" s="3">
        <v>306558420</v>
      </c>
      <c r="I32" s="3">
        <v>328421113</v>
      </c>
      <c r="J32" s="3">
        <v>634979533</v>
      </c>
      <c r="K32" s="4">
        <v>0.50207000000000002</v>
      </c>
      <c r="L32" s="3">
        <f t="shared" si="0"/>
        <v>4932.2246448295418</v>
      </c>
    </row>
    <row r="33" spans="1:12" x14ac:dyDescent="0.25">
      <c r="A33" s="5" t="s">
        <v>151</v>
      </c>
      <c r="B33" s="5" t="s">
        <v>152</v>
      </c>
      <c r="C33" s="5" t="s">
        <v>202</v>
      </c>
      <c r="D33" s="6">
        <v>112431</v>
      </c>
      <c r="E33" s="6">
        <v>361</v>
      </c>
      <c r="F33" s="6">
        <v>199</v>
      </c>
      <c r="G33" s="6">
        <v>112991</v>
      </c>
      <c r="H33" s="6">
        <v>306558420</v>
      </c>
      <c r="I33" s="6">
        <v>356554602</v>
      </c>
      <c r="J33" s="6">
        <v>663113022</v>
      </c>
      <c r="K33" s="7">
        <v>0.48731000000000002</v>
      </c>
      <c r="L33" s="6">
        <f t="shared" si="0"/>
        <v>5868.7242523740833</v>
      </c>
    </row>
    <row r="34" spans="1:12" x14ac:dyDescent="0.25">
      <c r="A34" s="2" t="s">
        <v>151</v>
      </c>
      <c r="B34" s="2" t="s">
        <v>152</v>
      </c>
      <c r="C34" s="2" t="s">
        <v>106</v>
      </c>
      <c r="D34" s="3">
        <v>7837</v>
      </c>
      <c r="E34" s="3">
        <v>101</v>
      </c>
      <c r="F34" s="3">
        <v>33</v>
      </c>
      <c r="G34" s="3">
        <v>7971</v>
      </c>
      <c r="H34" s="3">
        <v>364872166</v>
      </c>
      <c r="I34" s="3">
        <v>0</v>
      </c>
      <c r="J34" s="3">
        <v>364872166</v>
      </c>
      <c r="K34" s="4">
        <v>0.99668000000000001</v>
      </c>
      <c r="L34" s="3">
        <f t="shared" si="0"/>
        <v>45774.954961736294</v>
      </c>
    </row>
    <row r="35" spans="1:12" x14ac:dyDescent="0.25">
      <c r="A35" s="5" t="s">
        <v>151</v>
      </c>
      <c r="B35" s="5" t="s">
        <v>152</v>
      </c>
      <c r="C35" s="5" t="s">
        <v>20</v>
      </c>
      <c r="D35" s="6">
        <v>7851</v>
      </c>
      <c r="E35" s="6">
        <v>109</v>
      </c>
      <c r="F35" s="6">
        <v>31</v>
      </c>
      <c r="G35" s="6">
        <v>7991</v>
      </c>
      <c r="H35" s="6">
        <v>367341504</v>
      </c>
      <c r="I35" s="6">
        <v>0</v>
      </c>
      <c r="J35" s="6">
        <v>367341504</v>
      </c>
      <c r="K35" s="7">
        <v>0.99670000000000003</v>
      </c>
      <c r="L35" s="6">
        <f t="shared" si="0"/>
        <v>45969.403579026402</v>
      </c>
    </row>
    <row r="36" spans="1:12" x14ac:dyDescent="0.25">
      <c r="A36" s="2" t="s">
        <v>39</v>
      </c>
      <c r="B36" s="2" t="s">
        <v>40</v>
      </c>
      <c r="C36" s="2" t="s">
        <v>203</v>
      </c>
      <c r="D36" s="3">
        <v>46464</v>
      </c>
      <c r="E36" s="3">
        <v>1930</v>
      </c>
      <c r="F36" s="3">
        <v>1374</v>
      </c>
      <c r="G36" s="3">
        <v>49768</v>
      </c>
      <c r="H36" s="3">
        <v>2044215807</v>
      </c>
      <c r="I36" s="3">
        <v>0</v>
      </c>
      <c r="J36" s="3">
        <v>2044215807</v>
      </c>
      <c r="K36" s="4">
        <v>0.99280000000000002</v>
      </c>
      <c r="L36" s="3">
        <f t="shared" si="0"/>
        <v>41074.903693136155</v>
      </c>
    </row>
    <row r="37" spans="1:12" x14ac:dyDescent="0.25">
      <c r="A37" s="5" t="s">
        <v>39</v>
      </c>
      <c r="B37" s="5" t="s">
        <v>40</v>
      </c>
      <c r="C37" s="5" t="s">
        <v>204</v>
      </c>
      <c r="D37" s="6">
        <v>65376</v>
      </c>
      <c r="E37" s="6">
        <v>2001</v>
      </c>
      <c r="F37" s="6">
        <v>1592</v>
      </c>
      <c r="G37" s="6">
        <v>68969</v>
      </c>
      <c r="H37" s="6">
        <v>2046021644</v>
      </c>
      <c r="I37" s="6">
        <v>0</v>
      </c>
      <c r="J37" s="6">
        <v>2046021644</v>
      </c>
      <c r="K37" s="7">
        <v>0.99360000000000004</v>
      </c>
      <c r="L37" s="6">
        <f t="shared" si="0"/>
        <v>29665.815714306427</v>
      </c>
    </row>
    <row r="38" spans="1:12" x14ac:dyDescent="0.25">
      <c r="A38" s="2" t="s">
        <v>39</v>
      </c>
      <c r="B38" s="2" t="s">
        <v>40</v>
      </c>
      <c r="C38" s="2" t="s">
        <v>205</v>
      </c>
      <c r="D38" s="3">
        <v>247957</v>
      </c>
      <c r="E38" s="3">
        <v>3591</v>
      </c>
      <c r="F38" s="3">
        <v>1629</v>
      </c>
      <c r="G38" s="3">
        <v>253177</v>
      </c>
      <c r="H38" s="3">
        <v>6079530858</v>
      </c>
      <c r="I38" s="3">
        <v>0</v>
      </c>
      <c r="J38" s="3">
        <v>6079530858</v>
      </c>
      <c r="K38" s="4">
        <v>0.99241444000000001</v>
      </c>
      <c r="L38" s="3">
        <f t="shared" si="0"/>
        <v>24012.966651789066</v>
      </c>
    </row>
    <row r="39" spans="1:12" x14ac:dyDescent="0.25">
      <c r="A39" s="5" t="s">
        <v>39</v>
      </c>
      <c r="B39" s="5" t="s">
        <v>40</v>
      </c>
      <c r="C39" s="5" t="s">
        <v>206</v>
      </c>
      <c r="D39" s="6">
        <v>386804</v>
      </c>
      <c r="E39" s="6">
        <v>3629</v>
      </c>
      <c r="F39" s="6">
        <v>1488</v>
      </c>
      <c r="G39" s="6">
        <v>391921</v>
      </c>
      <c r="H39" s="6">
        <v>5987625321</v>
      </c>
      <c r="I39" s="6">
        <v>0</v>
      </c>
      <c r="J39" s="6">
        <v>5987625321</v>
      </c>
      <c r="K39" s="7">
        <v>0.98173885999999999</v>
      </c>
      <c r="L39" s="6">
        <f t="shared" si="0"/>
        <v>15277.633301098946</v>
      </c>
    </row>
    <row r="40" spans="1:12" x14ac:dyDescent="0.25">
      <c r="A40" s="2" t="s">
        <v>39</v>
      </c>
      <c r="B40" s="2" t="s">
        <v>40</v>
      </c>
      <c r="C40" s="2" t="s">
        <v>193</v>
      </c>
      <c r="D40" s="3">
        <v>354755</v>
      </c>
      <c r="E40" s="3">
        <v>2933</v>
      </c>
      <c r="F40" s="3">
        <v>1528</v>
      </c>
      <c r="G40" s="3">
        <v>359216</v>
      </c>
      <c r="H40" s="3">
        <v>5733398051</v>
      </c>
      <c r="I40" s="3">
        <v>0</v>
      </c>
      <c r="J40" s="3">
        <v>5733398051</v>
      </c>
      <c r="K40" s="4">
        <v>0.98528923000000002</v>
      </c>
      <c r="L40" s="3">
        <f t="shared" si="0"/>
        <v>15960.864914146363</v>
      </c>
    </row>
    <row r="41" spans="1:12" x14ac:dyDescent="0.25">
      <c r="A41" s="5" t="s">
        <v>39</v>
      </c>
      <c r="B41" s="5" t="s">
        <v>40</v>
      </c>
      <c r="C41" s="5" t="s">
        <v>207</v>
      </c>
      <c r="D41" s="6">
        <v>317857</v>
      </c>
      <c r="E41" s="6">
        <v>2443</v>
      </c>
      <c r="F41" s="6">
        <v>1604</v>
      </c>
      <c r="G41" s="6">
        <v>321904</v>
      </c>
      <c r="H41" s="6">
        <v>5511401013</v>
      </c>
      <c r="I41" s="6">
        <v>0</v>
      </c>
      <c r="J41" s="6">
        <v>5511401013</v>
      </c>
      <c r="K41" s="7">
        <v>0.99367000000000005</v>
      </c>
      <c r="L41" s="6">
        <f t="shared" si="0"/>
        <v>17121.256688329438</v>
      </c>
    </row>
    <row r="42" spans="1:12" x14ac:dyDescent="0.25">
      <c r="A42" s="2" t="s">
        <v>39</v>
      </c>
      <c r="B42" s="2" t="s">
        <v>40</v>
      </c>
      <c r="C42" s="2" t="s">
        <v>208</v>
      </c>
      <c r="D42" s="3">
        <v>322443</v>
      </c>
      <c r="E42" s="3">
        <v>2151</v>
      </c>
      <c r="F42" s="3">
        <v>1525</v>
      </c>
      <c r="G42" s="3">
        <v>326119</v>
      </c>
      <c r="H42" s="3">
        <v>5196371458</v>
      </c>
      <c r="I42" s="3">
        <v>0</v>
      </c>
      <c r="J42" s="3">
        <v>5196371458</v>
      </c>
      <c r="K42" s="4">
        <v>0.98668000000000011</v>
      </c>
      <c r="L42" s="3">
        <f t="shared" si="0"/>
        <v>15933.973359417882</v>
      </c>
    </row>
    <row r="43" spans="1:12" x14ac:dyDescent="0.25">
      <c r="A43" s="5" t="s">
        <v>39</v>
      </c>
      <c r="B43" s="5" t="s">
        <v>40</v>
      </c>
      <c r="C43" s="5" t="s">
        <v>20</v>
      </c>
      <c r="D43" s="6">
        <v>290198</v>
      </c>
      <c r="E43" s="6">
        <v>2306</v>
      </c>
      <c r="F43" s="6">
        <v>1648</v>
      </c>
      <c r="G43" s="6">
        <v>294152</v>
      </c>
      <c r="H43" s="6">
        <v>4997348685</v>
      </c>
      <c r="I43" s="6">
        <v>0</v>
      </c>
      <c r="J43" s="6">
        <v>4997348685</v>
      </c>
      <c r="K43" s="7">
        <v>0.99025999999999992</v>
      </c>
      <c r="L43" s="6">
        <f t="shared" si="0"/>
        <v>16989.001213658245</v>
      </c>
    </row>
    <row r="44" spans="1:12" x14ac:dyDescent="0.25">
      <c r="A44" s="2" t="s">
        <v>39</v>
      </c>
      <c r="B44" s="2" t="s">
        <v>40</v>
      </c>
      <c r="C44" s="2" t="s">
        <v>20</v>
      </c>
      <c r="D44" s="3">
        <v>290198</v>
      </c>
      <c r="E44" s="3">
        <v>2306</v>
      </c>
      <c r="F44" s="3">
        <v>1647</v>
      </c>
      <c r="G44" s="3">
        <v>294151</v>
      </c>
      <c r="H44" s="3">
        <v>4972065060</v>
      </c>
      <c r="I44" s="3">
        <v>0</v>
      </c>
      <c r="J44" s="3">
        <v>4972065060</v>
      </c>
      <c r="K44" s="4">
        <v>0.98525000000000007</v>
      </c>
      <c r="L44" s="3">
        <f t="shared" si="0"/>
        <v>16903.104391961951</v>
      </c>
    </row>
    <row r="45" spans="1:12" x14ac:dyDescent="0.25">
      <c r="A45" s="5" t="s">
        <v>12</v>
      </c>
      <c r="B45" s="5" t="s">
        <v>13</v>
      </c>
      <c r="C45" s="5" t="s">
        <v>209</v>
      </c>
      <c r="D45" s="6">
        <v>339314</v>
      </c>
      <c r="E45" s="6">
        <v>12869</v>
      </c>
      <c r="F45" s="6">
        <v>2213</v>
      </c>
      <c r="G45" s="6">
        <v>354396</v>
      </c>
      <c r="H45" s="6">
        <v>1331530017</v>
      </c>
      <c r="I45" s="6">
        <v>0</v>
      </c>
      <c r="J45" s="6">
        <v>1331530017</v>
      </c>
      <c r="K45" s="7">
        <v>0.46468978</v>
      </c>
      <c r="L45" s="6">
        <f t="shared" si="0"/>
        <v>3757.1812802627569</v>
      </c>
    </row>
    <row r="46" spans="1:12" x14ac:dyDescent="0.25">
      <c r="A46" s="2" t="s">
        <v>12</v>
      </c>
      <c r="B46" s="2" t="s">
        <v>13</v>
      </c>
      <c r="C46" s="2" t="s">
        <v>196</v>
      </c>
      <c r="D46" s="3">
        <v>447343</v>
      </c>
      <c r="E46" s="3">
        <v>13248</v>
      </c>
      <c r="F46" s="3">
        <v>2476</v>
      </c>
      <c r="G46" s="3">
        <v>463067</v>
      </c>
      <c r="H46" s="3">
        <v>1418466803</v>
      </c>
      <c r="I46" s="3">
        <v>0</v>
      </c>
      <c r="J46" s="3">
        <v>1418466803</v>
      </c>
      <c r="K46" s="4">
        <v>0.49502980000000002</v>
      </c>
      <c r="L46" s="3">
        <f t="shared" si="0"/>
        <v>3063.1999321912381</v>
      </c>
    </row>
    <row r="47" spans="1:12" x14ac:dyDescent="0.25">
      <c r="A47" s="5" t="s">
        <v>12</v>
      </c>
      <c r="B47" s="5" t="s">
        <v>13</v>
      </c>
      <c r="C47" s="5" t="s">
        <v>210</v>
      </c>
      <c r="D47" s="6">
        <v>699767</v>
      </c>
      <c r="E47" s="6">
        <v>14067</v>
      </c>
      <c r="F47" s="6">
        <v>1548</v>
      </c>
      <c r="G47" s="6">
        <v>715382</v>
      </c>
      <c r="H47" s="6">
        <v>1283197221</v>
      </c>
      <c r="I47" s="6">
        <v>0</v>
      </c>
      <c r="J47" s="6">
        <v>1283197221</v>
      </c>
      <c r="K47" s="7">
        <v>0.44781999999999988</v>
      </c>
      <c r="L47" s="6">
        <f t="shared" si="0"/>
        <v>1793.7231031812375</v>
      </c>
    </row>
    <row r="48" spans="1:12" x14ac:dyDescent="0.25">
      <c r="A48" s="2" t="s">
        <v>12</v>
      </c>
      <c r="B48" s="2" t="s">
        <v>13</v>
      </c>
      <c r="C48" s="2" t="s">
        <v>188</v>
      </c>
      <c r="D48" s="3">
        <v>828921</v>
      </c>
      <c r="E48" s="3">
        <v>15206</v>
      </c>
      <c r="F48" s="3">
        <v>1159</v>
      </c>
      <c r="G48" s="3">
        <v>845286</v>
      </c>
      <c r="H48" s="3">
        <v>1420530937</v>
      </c>
      <c r="I48" s="3">
        <v>0</v>
      </c>
      <c r="J48" s="3">
        <v>1420530937</v>
      </c>
      <c r="K48" s="4">
        <v>0.49575000000000002</v>
      </c>
      <c r="L48" s="3">
        <f t="shared" si="0"/>
        <v>1680.5329048393089</v>
      </c>
    </row>
    <row r="49" spans="1:12" x14ac:dyDescent="0.25">
      <c r="A49" s="5" t="s">
        <v>12</v>
      </c>
      <c r="B49" s="5" t="s">
        <v>13</v>
      </c>
      <c r="C49" s="5" t="s">
        <v>211</v>
      </c>
      <c r="D49" s="6">
        <v>853913</v>
      </c>
      <c r="E49" s="6">
        <v>15061</v>
      </c>
      <c r="F49" s="6">
        <v>1438</v>
      </c>
      <c r="G49" s="6">
        <v>870412</v>
      </c>
      <c r="H49" s="6">
        <v>1420731069</v>
      </c>
      <c r="I49" s="6">
        <v>0</v>
      </c>
      <c r="J49" s="6">
        <v>1420731069</v>
      </c>
      <c r="K49" s="7">
        <v>0.49581999999999998</v>
      </c>
      <c r="L49" s="6">
        <f t="shared" si="0"/>
        <v>1632.2512430894794</v>
      </c>
    </row>
    <row r="50" spans="1:12" x14ac:dyDescent="0.25">
      <c r="A50" s="2" t="s">
        <v>12</v>
      </c>
      <c r="B50" s="2" t="s">
        <v>13</v>
      </c>
      <c r="C50" s="2" t="s">
        <v>212</v>
      </c>
      <c r="D50" s="3">
        <v>1143917</v>
      </c>
      <c r="E50" s="3">
        <v>14856</v>
      </c>
      <c r="F50" s="3">
        <v>1266</v>
      </c>
      <c r="G50" s="3">
        <v>1160039</v>
      </c>
      <c r="H50" s="3">
        <v>2842247534</v>
      </c>
      <c r="I50" s="3">
        <v>0</v>
      </c>
      <c r="J50" s="3">
        <v>2842247534</v>
      </c>
      <c r="K50" s="4">
        <v>0.49596000000000001</v>
      </c>
      <c r="L50" s="3">
        <f t="shared" si="0"/>
        <v>2450.1310162847972</v>
      </c>
    </row>
    <row r="51" spans="1:12" x14ac:dyDescent="0.25">
      <c r="A51" s="5" t="s">
        <v>12</v>
      </c>
      <c r="B51" s="5" t="s">
        <v>13</v>
      </c>
      <c r="C51" s="5" t="s">
        <v>213</v>
      </c>
      <c r="D51" s="6">
        <v>1166340</v>
      </c>
      <c r="E51" s="6">
        <v>14908</v>
      </c>
      <c r="F51" s="6">
        <v>1246</v>
      </c>
      <c r="G51" s="6">
        <v>1182494</v>
      </c>
      <c r="H51" s="6">
        <v>2842613858</v>
      </c>
      <c r="I51" s="6">
        <v>0</v>
      </c>
      <c r="J51" s="6">
        <v>2842613858</v>
      </c>
      <c r="K51" s="7">
        <v>0.49602000000000002</v>
      </c>
      <c r="L51" s="6">
        <f t="shared" si="0"/>
        <v>2403.9139801132183</v>
      </c>
    </row>
    <row r="52" spans="1:12" x14ac:dyDescent="0.25">
      <c r="A52" s="2" t="s">
        <v>12</v>
      </c>
      <c r="B52" s="2" t="s">
        <v>13</v>
      </c>
      <c r="C52" s="2" t="s">
        <v>214</v>
      </c>
      <c r="D52" s="3">
        <v>1492490</v>
      </c>
      <c r="E52" s="3">
        <v>15317</v>
      </c>
      <c r="F52" s="3">
        <v>1196</v>
      </c>
      <c r="G52" s="3">
        <v>1509003</v>
      </c>
      <c r="H52" s="3">
        <v>2842496541</v>
      </c>
      <c r="I52" s="3">
        <v>0</v>
      </c>
      <c r="J52" s="3">
        <v>2842496541</v>
      </c>
      <c r="K52" s="4">
        <v>0.496</v>
      </c>
      <c r="L52" s="3">
        <f t="shared" si="0"/>
        <v>1883.691775960684</v>
      </c>
    </row>
    <row r="53" spans="1:12" x14ac:dyDescent="0.25">
      <c r="A53" s="5" t="s">
        <v>12</v>
      </c>
      <c r="B53" s="5" t="s">
        <v>13</v>
      </c>
      <c r="C53" s="5" t="s">
        <v>14</v>
      </c>
      <c r="D53" s="6">
        <v>1537290</v>
      </c>
      <c r="E53" s="6">
        <v>13124</v>
      </c>
      <c r="F53" s="6">
        <v>840</v>
      </c>
      <c r="G53" s="6">
        <v>1551254</v>
      </c>
      <c r="H53" s="6">
        <v>2842760965</v>
      </c>
      <c r="I53" s="6">
        <v>0</v>
      </c>
      <c r="J53" s="6">
        <v>2842760965</v>
      </c>
      <c r="K53" s="7">
        <v>0.49604999999999999</v>
      </c>
      <c r="L53" s="6">
        <f t="shared" si="0"/>
        <v>1832.5567347449226</v>
      </c>
    </row>
    <row r="54" spans="1:12" x14ac:dyDescent="0.25">
      <c r="A54" s="2" t="s">
        <v>21</v>
      </c>
      <c r="B54" s="2" t="s">
        <v>22</v>
      </c>
      <c r="C54" s="2" t="s">
        <v>215</v>
      </c>
      <c r="D54" s="3">
        <v>341031</v>
      </c>
      <c r="E54" s="3">
        <v>35452</v>
      </c>
      <c r="F54" s="3">
        <v>1149</v>
      </c>
      <c r="G54" s="3">
        <v>377632</v>
      </c>
      <c r="H54" s="3">
        <v>1139475740</v>
      </c>
      <c r="I54" s="3">
        <v>3873597664</v>
      </c>
      <c r="J54" s="3">
        <v>5013073404</v>
      </c>
      <c r="K54" s="4">
        <v>0.62167400000000006</v>
      </c>
      <c r="L54" s="3">
        <f t="shared" si="0"/>
        <v>13275.022784086095</v>
      </c>
    </row>
    <row r="55" spans="1:12" x14ac:dyDescent="0.25">
      <c r="A55" s="5" t="s">
        <v>21</v>
      </c>
      <c r="B55" s="5" t="s">
        <v>22</v>
      </c>
      <c r="C55" s="5" t="s">
        <v>216</v>
      </c>
      <c r="D55" s="6">
        <v>498544</v>
      </c>
      <c r="E55" s="6">
        <v>35389</v>
      </c>
      <c r="F55" s="6">
        <v>1324</v>
      </c>
      <c r="G55" s="6">
        <v>535257</v>
      </c>
      <c r="H55" s="6">
        <v>1253093907</v>
      </c>
      <c r="I55" s="6">
        <v>4261649634</v>
      </c>
      <c r="J55" s="6">
        <v>5514743541</v>
      </c>
      <c r="K55" s="7">
        <v>0.62171492000000006</v>
      </c>
      <c r="L55" s="6">
        <f t="shared" si="0"/>
        <v>10302.982569121001</v>
      </c>
    </row>
    <row r="56" spans="1:12" x14ac:dyDescent="0.25">
      <c r="A56" s="2" t="s">
        <v>21</v>
      </c>
      <c r="B56" s="2" t="s">
        <v>22</v>
      </c>
      <c r="C56" s="2" t="s">
        <v>217</v>
      </c>
      <c r="D56" s="3">
        <v>729406</v>
      </c>
      <c r="E56" s="3">
        <v>36245</v>
      </c>
      <c r="F56" s="3">
        <v>1393</v>
      </c>
      <c r="G56" s="3">
        <v>767044</v>
      </c>
      <c r="H56" s="3">
        <v>1393587876</v>
      </c>
      <c r="I56" s="3">
        <v>4714820148</v>
      </c>
      <c r="J56" s="3">
        <v>6108408024</v>
      </c>
      <c r="K56" s="4">
        <v>0.62849654999999993</v>
      </c>
      <c r="L56" s="3">
        <f t="shared" si="0"/>
        <v>7963.5692659091264</v>
      </c>
    </row>
    <row r="57" spans="1:12" x14ac:dyDescent="0.25">
      <c r="A57" s="5" t="s">
        <v>21</v>
      </c>
      <c r="B57" s="5" t="s">
        <v>22</v>
      </c>
      <c r="C57" s="5" t="s">
        <v>218</v>
      </c>
      <c r="D57" s="6">
        <v>734180</v>
      </c>
      <c r="E57" s="6">
        <v>35176</v>
      </c>
      <c r="F57" s="6">
        <v>1354</v>
      </c>
      <c r="G57" s="6">
        <v>770710</v>
      </c>
      <c r="H57" s="6">
        <v>1508883586</v>
      </c>
      <c r="I57" s="6">
        <v>5156077326</v>
      </c>
      <c r="J57" s="6">
        <v>6664960912</v>
      </c>
      <c r="K57" s="7">
        <v>0.62531999999999999</v>
      </c>
      <c r="L57" s="6">
        <f t="shared" si="0"/>
        <v>8647.8194288383438</v>
      </c>
    </row>
    <row r="58" spans="1:12" x14ac:dyDescent="0.25">
      <c r="A58" s="2" t="s">
        <v>21</v>
      </c>
      <c r="B58" s="2" t="s">
        <v>22</v>
      </c>
      <c r="C58" s="2" t="s">
        <v>219</v>
      </c>
      <c r="D58" s="3">
        <v>798152</v>
      </c>
      <c r="E58" s="3">
        <v>35088</v>
      </c>
      <c r="F58" s="3">
        <v>1223</v>
      </c>
      <c r="G58" s="3">
        <v>834463</v>
      </c>
      <c r="H58" s="3">
        <v>1500631902</v>
      </c>
      <c r="I58" s="3">
        <v>5146612491</v>
      </c>
      <c r="J58" s="3">
        <v>6647244393</v>
      </c>
      <c r="K58" s="4">
        <v>0.62365999999999999</v>
      </c>
      <c r="L58" s="3">
        <f t="shared" si="0"/>
        <v>7965.8947047382571</v>
      </c>
    </row>
    <row r="59" spans="1:12" x14ac:dyDescent="0.25">
      <c r="A59" s="5" t="s">
        <v>21</v>
      </c>
      <c r="B59" s="5" t="s">
        <v>22</v>
      </c>
      <c r="C59" s="5" t="s">
        <v>220</v>
      </c>
      <c r="D59" s="6">
        <v>844391</v>
      </c>
      <c r="E59" s="6">
        <v>34573</v>
      </c>
      <c r="F59" s="6">
        <v>1129</v>
      </c>
      <c r="G59" s="6">
        <v>880093</v>
      </c>
      <c r="H59" s="6">
        <v>1489259656</v>
      </c>
      <c r="I59" s="6">
        <v>5135772281</v>
      </c>
      <c r="J59" s="6">
        <v>6625031937</v>
      </c>
      <c r="K59" s="7">
        <v>0.62253000000000003</v>
      </c>
      <c r="L59" s="6">
        <f t="shared" si="0"/>
        <v>7527.6498472320536</v>
      </c>
    </row>
    <row r="60" spans="1:12" x14ac:dyDescent="0.25">
      <c r="A60" s="2" t="s">
        <v>21</v>
      </c>
      <c r="B60" s="2" t="s">
        <v>22</v>
      </c>
      <c r="C60" s="2" t="s">
        <v>221</v>
      </c>
      <c r="D60" s="3">
        <v>888778</v>
      </c>
      <c r="E60" s="3">
        <v>34180</v>
      </c>
      <c r="F60" s="3">
        <v>948</v>
      </c>
      <c r="G60" s="3">
        <v>923906</v>
      </c>
      <c r="H60" s="3">
        <v>1469064981</v>
      </c>
      <c r="I60" s="3">
        <v>5111682020</v>
      </c>
      <c r="J60" s="3">
        <v>6580747001</v>
      </c>
      <c r="K60" s="4">
        <v>0.62129000000000001</v>
      </c>
      <c r="L60" s="3">
        <f t="shared" si="0"/>
        <v>7122.7451721279003</v>
      </c>
    </row>
    <row r="61" spans="1:12" x14ac:dyDescent="0.25">
      <c r="A61" s="5" t="s">
        <v>21</v>
      </c>
      <c r="B61" s="5" t="s">
        <v>22</v>
      </c>
      <c r="C61" s="5" t="s">
        <v>222</v>
      </c>
      <c r="D61" s="6">
        <v>828517</v>
      </c>
      <c r="E61" s="6">
        <v>33255</v>
      </c>
      <c r="F61" s="6">
        <v>1119</v>
      </c>
      <c r="G61" s="6">
        <v>862891</v>
      </c>
      <c r="H61" s="6">
        <v>1464429403</v>
      </c>
      <c r="I61" s="6">
        <v>5100889966</v>
      </c>
      <c r="J61" s="6">
        <v>6565319369</v>
      </c>
      <c r="K61" s="7">
        <v>0.61984000000000006</v>
      </c>
      <c r="L61" s="6">
        <f t="shared" si="0"/>
        <v>7608.5152921979716</v>
      </c>
    </row>
    <row r="62" spans="1:12" x14ac:dyDescent="0.25">
      <c r="A62" s="2" t="s">
        <v>21</v>
      </c>
      <c r="B62" s="2" t="s">
        <v>22</v>
      </c>
      <c r="C62" s="2" t="s">
        <v>23</v>
      </c>
      <c r="D62" s="3">
        <v>847717</v>
      </c>
      <c r="E62" s="3">
        <v>33578</v>
      </c>
      <c r="F62" s="3">
        <v>1181</v>
      </c>
      <c r="G62" s="3">
        <v>882476</v>
      </c>
      <c r="H62" s="3">
        <v>1464434502</v>
      </c>
      <c r="I62" s="3">
        <v>5100907585</v>
      </c>
      <c r="J62" s="3">
        <v>6565342087</v>
      </c>
      <c r="K62" s="4">
        <v>0.61984000000000006</v>
      </c>
      <c r="L62" s="3">
        <f t="shared" si="0"/>
        <v>7439.6834440823322</v>
      </c>
    </row>
    <row r="63" spans="1:12" x14ac:dyDescent="0.25">
      <c r="A63" s="5" t="s">
        <v>32</v>
      </c>
      <c r="B63" s="5" t="s">
        <v>33</v>
      </c>
      <c r="C63" s="5" t="s">
        <v>223</v>
      </c>
      <c r="D63" s="6">
        <v>50003</v>
      </c>
      <c r="E63" s="6">
        <v>2219</v>
      </c>
      <c r="F63" s="6">
        <v>1350</v>
      </c>
      <c r="G63" s="6">
        <v>53572</v>
      </c>
      <c r="H63" s="6">
        <v>671584112</v>
      </c>
      <c r="I63" s="6">
        <v>0</v>
      </c>
      <c r="J63" s="6">
        <v>671584112</v>
      </c>
      <c r="K63" s="7">
        <v>0.33578999999999998</v>
      </c>
      <c r="L63" s="6">
        <f t="shared" si="0"/>
        <v>12536.103038900919</v>
      </c>
    </row>
    <row r="64" spans="1:12" x14ac:dyDescent="0.25">
      <c r="A64" s="2" t="s">
        <v>32</v>
      </c>
      <c r="B64" s="2" t="s">
        <v>33</v>
      </c>
      <c r="C64" s="2" t="s">
        <v>224</v>
      </c>
      <c r="D64" s="3">
        <v>84683</v>
      </c>
      <c r="E64" s="3">
        <v>2615</v>
      </c>
      <c r="F64" s="3">
        <v>1369</v>
      </c>
      <c r="G64" s="3">
        <v>88667</v>
      </c>
      <c r="H64" s="3">
        <v>671601167</v>
      </c>
      <c r="I64" s="3">
        <v>0</v>
      </c>
      <c r="J64" s="3">
        <v>671601167</v>
      </c>
      <c r="K64" s="4">
        <v>0.33579999999999999</v>
      </c>
      <c r="L64" s="3">
        <f t="shared" si="0"/>
        <v>7574.4207766136215</v>
      </c>
    </row>
    <row r="65" spans="1:12" x14ac:dyDescent="0.25">
      <c r="A65" s="5" t="s">
        <v>32</v>
      </c>
      <c r="B65" s="5" t="s">
        <v>33</v>
      </c>
      <c r="C65" s="5" t="s">
        <v>225</v>
      </c>
      <c r="D65" s="6">
        <v>127446</v>
      </c>
      <c r="E65" s="6">
        <v>2237</v>
      </c>
      <c r="F65" s="6">
        <v>1330</v>
      </c>
      <c r="G65" s="6">
        <v>131013</v>
      </c>
      <c r="H65" s="6">
        <v>671584841</v>
      </c>
      <c r="I65" s="6">
        <v>0</v>
      </c>
      <c r="J65" s="6">
        <v>671584841</v>
      </c>
      <c r="K65" s="7">
        <v>0.33578999999999998</v>
      </c>
      <c r="L65" s="6">
        <f t="shared" si="0"/>
        <v>5126.0931434285148</v>
      </c>
    </row>
    <row r="66" spans="1:12" x14ac:dyDescent="0.25">
      <c r="A66" s="2" t="s">
        <v>32</v>
      </c>
      <c r="B66" s="2" t="s">
        <v>33</v>
      </c>
      <c r="C66" s="2" t="s">
        <v>199</v>
      </c>
      <c r="D66" s="3">
        <v>326557</v>
      </c>
      <c r="E66" s="3">
        <v>2855</v>
      </c>
      <c r="F66" s="3">
        <v>1173</v>
      </c>
      <c r="G66" s="3">
        <v>330585</v>
      </c>
      <c r="H66" s="3">
        <v>671629692</v>
      </c>
      <c r="I66" s="3">
        <v>0</v>
      </c>
      <c r="J66" s="3">
        <v>671629692</v>
      </c>
      <c r="K66" s="4">
        <v>0.33581000000000011</v>
      </c>
      <c r="L66" s="3">
        <f t="shared" ref="L66:L129" si="1">IFERROR(J66/G66,"")</f>
        <v>2031.6399473660329</v>
      </c>
    </row>
    <row r="67" spans="1:12" x14ac:dyDescent="0.25">
      <c r="A67" s="5" t="s">
        <v>32</v>
      </c>
      <c r="B67" s="5" t="s">
        <v>33</v>
      </c>
      <c r="C67" s="5" t="s">
        <v>226</v>
      </c>
      <c r="D67" s="6">
        <v>351530</v>
      </c>
      <c r="E67" s="6">
        <v>2572</v>
      </c>
      <c r="F67" s="6">
        <v>1310</v>
      </c>
      <c r="G67" s="6">
        <v>355412</v>
      </c>
      <c r="H67" s="6">
        <v>671682536</v>
      </c>
      <c r="I67" s="6">
        <v>0</v>
      </c>
      <c r="J67" s="6">
        <v>671682536</v>
      </c>
      <c r="K67" s="7">
        <v>0.33584000000000003</v>
      </c>
      <c r="L67" s="6">
        <f t="shared" si="1"/>
        <v>1889.8701675801606</v>
      </c>
    </row>
    <row r="68" spans="1:12" x14ac:dyDescent="0.25">
      <c r="A68" s="2" t="s">
        <v>32</v>
      </c>
      <c r="B68" s="2" t="s">
        <v>33</v>
      </c>
      <c r="C68" s="2" t="s">
        <v>182</v>
      </c>
      <c r="D68" s="3">
        <v>336474</v>
      </c>
      <c r="E68" s="3">
        <v>2578</v>
      </c>
      <c r="F68" s="3">
        <v>1598</v>
      </c>
      <c r="G68" s="3">
        <v>340650</v>
      </c>
      <c r="H68" s="3">
        <v>671750768</v>
      </c>
      <c r="I68" s="3">
        <v>0</v>
      </c>
      <c r="J68" s="3">
        <v>671750768</v>
      </c>
      <c r="K68" s="4">
        <v>0.33588000000000001</v>
      </c>
      <c r="L68" s="3">
        <f t="shared" si="1"/>
        <v>1971.9676148539556</v>
      </c>
    </row>
    <row r="69" spans="1:12" x14ac:dyDescent="0.25">
      <c r="A69" s="5" t="s">
        <v>32</v>
      </c>
      <c r="B69" s="5" t="s">
        <v>33</v>
      </c>
      <c r="C69" s="5" t="s">
        <v>183</v>
      </c>
      <c r="D69" s="6">
        <v>528094</v>
      </c>
      <c r="E69" s="6">
        <v>3287</v>
      </c>
      <c r="F69" s="6">
        <v>1360</v>
      </c>
      <c r="G69" s="6">
        <v>532741</v>
      </c>
      <c r="H69" s="6">
        <v>637332335</v>
      </c>
      <c r="I69" s="6">
        <v>0</v>
      </c>
      <c r="J69" s="6">
        <v>637332335</v>
      </c>
      <c r="K69" s="7">
        <v>0.31867000000000001</v>
      </c>
      <c r="L69" s="6">
        <f t="shared" si="1"/>
        <v>1196.3267985756681</v>
      </c>
    </row>
    <row r="70" spans="1:12" x14ac:dyDescent="0.25">
      <c r="A70" s="2" t="s">
        <v>32</v>
      </c>
      <c r="B70" s="2" t="s">
        <v>33</v>
      </c>
      <c r="C70" s="2" t="s">
        <v>148</v>
      </c>
      <c r="D70" s="3">
        <v>605394</v>
      </c>
      <c r="E70" s="3">
        <v>2956</v>
      </c>
      <c r="F70" s="3">
        <v>1270</v>
      </c>
      <c r="G70" s="3">
        <v>609620</v>
      </c>
      <c r="H70" s="3">
        <v>616248544</v>
      </c>
      <c r="I70" s="3">
        <v>0</v>
      </c>
      <c r="J70" s="3">
        <v>616248544</v>
      </c>
      <c r="K70" s="4">
        <v>0.31741999999999998</v>
      </c>
      <c r="L70" s="3">
        <f t="shared" si="1"/>
        <v>1010.8732390669597</v>
      </c>
    </row>
    <row r="71" spans="1:12" x14ac:dyDescent="0.25">
      <c r="A71" s="5" t="s">
        <v>32</v>
      </c>
      <c r="B71" s="5" t="s">
        <v>33</v>
      </c>
      <c r="C71" s="5" t="s">
        <v>20</v>
      </c>
      <c r="D71" s="6">
        <v>606047</v>
      </c>
      <c r="E71" s="6">
        <v>2988</v>
      </c>
      <c r="F71" s="6">
        <v>1262</v>
      </c>
      <c r="G71" s="6">
        <v>610297</v>
      </c>
      <c r="H71" s="6">
        <v>616248544</v>
      </c>
      <c r="I71" s="6">
        <v>0</v>
      </c>
      <c r="J71" s="6">
        <v>616248544</v>
      </c>
      <c r="K71" s="7">
        <v>0.31741999999999998</v>
      </c>
      <c r="L71" s="6">
        <f t="shared" si="1"/>
        <v>1009.7518814609936</v>
      </c>
    </row>
    <row r="72" spans="1:12" x14ac:dyDescent="0.25">
      <c r="A72" s="2" t="s">
        <v>107</v>
      </c>
      <c r="B72" s="2" t="s">
        <v>108</v>
      </c>
      <c r="C72" s="2" t="s">
        <v>227</v>
      </c>
      <c r="D72" s="3">
        <v>10964</v>
      </c>
      <c r="E72" s="3">
        <v>154</v>
      </c>
      <c r="F72" s="3">
        <v>119</v>
      </c>
      <c r="G72" s="3">
        <v>11237</v>
      </c>
      <c r="H72" s="3">
        <v>136450095</v>
      </c>
      <c r="I72" s="3">
        <v>0</v>
      </c>
      <c r="J72" s="3">
        <v>136450095</v>
      </c>
      <c r="K72" s="4">
        <v>0.36219907000000001</v>
      </c>
      <c r="L72" s="3">
        <f t="shared" si="1"/>
        <v>12142.92916258788</v>
      </c>
    </row>
    <row r="73" spans="1:12" x14ac:dyDescent="0.25">
      <c r="A73" s="5" t="s">
        <v>107</v>
      </c>
      <c r="B73" s="5" t="s">
        <v>108</v>
      </c>
      <c r="C73" s="5" t="s">
        <v>228</v>
      </c>
      <c r="D73" s="6">
        <v>10930</v>
      </c>
      <c r="E73" s="6">
        <v>65</v>
      </c>
      <c r="F73" s="6">
        <v>243</v>
      </c>
      <c r="G73" s="6">
        <v>11238</v>
      </c>
      <c r="H73" s="6">
        <v>259625562</v>
      </c>
      <c r="I73" s="6">
        <v>0</v>
      </c>
      <c r="J73" s="6">
        <v>259625562</v>
      </c>
      <c r="K73" s="7">
        <v>0.53334000000000004</v>
      </c>
      <c r="L73" s="6">
        <f t="shared" si="1"/>
        <v>23102.470368392951</v>
      </c>
    </row>
    <row r="74" spans="1:12" x14ac:dyDescent="0.25">
      <c r="A74" s="2" t="s">
        <v>107</v>
      </c>
      <c r="B74" s="2" t="s">
        <v>108</v>
      </c>
      <c r="C74" s="2" t="s">
        <v>229</v>
      </c>
      <c r="D74" s="3">
        <v>33870</v>
      </c>
      <c r="E74" s="3">
        <v>284</v>
      </c>
      <c r="F74" s="3">
        <v>552</v>
      </c>
      <c r="G74" s="3">
        <v>34706</v>
      </c>
      <c r="H74" s="3">
        <v>242718712</v>
      </c>
      <c r="I74" s="3">
        <v>0</v>
      </c>
      <c r="J74" s="3">
        <v>242718712</v>
      </c>
      <c r="K74" s="4">
        <v>0.44159999999999999</v>
      </c>
      <c r="L74" s="3">
        <f t="shared" si="1"/>
        <v>6993.5662997752552</v>
      </c>
    </row>
    <row r="75" spans="1:12" x14ac:dyDescent="0.25">
      <c r="A75" s="5" t="s">
        <v>107</v>
      </c>
      <c r="B75" s="5" t="s">
        <v>108</v>
      </c>
      <c r="C75" s="5" t="s">
        <v>230</v>
      </c>
      <c r="D75" s="6">
        <v>88999</v>
      </c>
      <c r="E75" s="6">
        <v>916</v>
      </c>
      <c r="F75" s="6">
        <v>595</v>
      </c>
      <c r="G75" s="6">
        <v>90510</v>
      </c>
      <c r="H75" s="6">
        <v>260409710</v>
      </c>
      <c r="I75" s="6">
        <v>0</v>
      </c>
      <c r="J75" s="6">
        <v>260409710</v>
      </c>
      <c r="K75" s="7">
        <v>0.42881000000000002</v>
      </c>
      <c r="L75" s="6">
        <f t="shared" si="1"/>
        <v>2877.1374433764227</v>
      </c>
    </row>
    <row r="76" spans="1:12" x14ac:dyDescent="0.25">
      <c r="A76" s="2" t="s">
        <v>107</v>
      </c>
      <c r="B76" s="2" t="s">
        <v>108</v>
      </c>
      <c r="C76" s="2" t="s">
        <v>218</v>
      </c>
      <c r="D76" s="3">
        <v>63689</v>
      </c>
      <c r="E76" s="3">
        <v>325</v>
      </c>
      <c r="F76" s="3">
        <v>649</v>
      </c>
      <c r="G76" s="3">
        <v>64663</v>
      </c>
      <c r="H76" s="3">
        <v>260340982</v>
      </c>
      <c r="I76" s="3">
        <v>0</v>
      </c>
      <c r="J76" s="3">
        <v>260340982</v>
      </c>
      <c r="K76" s="4">
        <v>0.42870000000000003</v>
      </c>
      <c r="L76" s="3">
        <f t="shared" si="1"/>
        <v>4026.1197593677994</v>
      </c>
    </row>
    <row r="77" spans="1:12" x14ac:dyDescent="0.25">
      <c r="A77" s="5" t="s">
        <v>107</v>
      </c>
      <c r="B77" s="5" t="s">
        <v>108</v>
      </c>
      <c r="C77" s="5" t="s">
        <v>231</v>
      </c>
      <c r="D77" s="6">
        <v>57821</v>
      </c>
      <c r="E77" s="6">
        <v>357</v>
      </c>
      <c r="F77" s="6">
        <v>724</v>
      </c>
      <c r="G77" s="6">
        <v>58902</v>
      </c>
      <c r="H77" s="6">
        <v>261036182</v>
      </c>
      <c r="I77" s="6">
        <v>0</v>
      </c>
      <c r="J77" s="6">
        <v>261036182</v>
      </c>
      <c r="K77" s="7">
        <v>0.42984</v>
      </c>
      <c r="L77" s="6">
        <f t="shared" si="1"/>
        <v>4431.7032019286271</v>
      </c>
    </row>
    <row r="78" spans="1:12" x14ac:dyDescent="0.25">
      <c r="A78" s="2" t="s">
        <v>107</v>
      </c>
      <c r="B78" s="2" t="s">
        <v>108</v>
      </c>
      <c r="C78" s="2" t="s">
        <v>232</v>
      </c>
      <c r="D78" s="3">
        <v>79453</v>
      </c>
      <c r="E78" s="3">
        <v>498</v>
      </c>
      <c r="F78" s="3">
        <v>397</v>
      </c>
      <c r="G78" s="3">
        <v>80348</v>
      </c>
      <c r="H78" s="3">
        <v>261359935</v>
      </c>
      <c r="I78" s="3">
        <v>0</v>
      </c>
      <c r="J78" s="3">
        <v>261359935</v>
      </c>
      <c r="K78" s="4">
        <v>0.43037999999999998</v>
      </c>
      <c r="L78" s="3">
        <f t="shared" si="1"/>
        <v>3252.8492930751231</v>
      </c>
    </row>
    <row r="79" spans="1:12" x14ac:dyDescent="0.25">
      <c r="A79" s="5" t="s">
        <v>107</v>
      </c>
      <c r="B79" s="5" t="s">
        <v>108</v>
      </c>
      <c r="C79" s="5" t="s">
        <v>214</v>
      </c>
      <c r="D79" s="6">
        <v>56530</v>
      </c>
      <c r="E79" s="6">
        <v>260</v>
      </c>
      <c r="F79" s="6">
        <v>394</v>
      </c>
      <c r="G79" s="6">
        <v>57184</v>
      </c>
      <c r="H79" s="6">
        <v>441781500</v>
      </c>
      <c r="I79" s="6">
        <v>0</v>
      </c>
      <c r="J79" s="6">
        <v>441781500</v>
      </c>
      <c r="K79" s="7">
        <v>0.44153999999999999</v>
      </c>
      <c r="L79" s="6">
        <f t="shared" si="1"/>
        <v>7725.6138080581977</v>
      </c>
    </row>
    <row r="80" spans="1:12" x14ac:dyDescent="0.25">
      <c r="A80" s="2" t="s">
        <v>107</v>
      </c>
      <c r="B80" s="2" t="s">
        <v>108</v>
      </c>
      <c r="C80" s="2" t="s">
        <v>103</v>
      </c>
      <c r="D80" s="3">
        <v>63721</v>
      </c>
      <c r="E80" s="3">
        <v>377</v>
      </c>
      <c r="F80" s="3">
        <v>142</v>
      </c>
      <c r="G80" s="3">
        <v>64240</v>
      </c>
      <c r="H80" s="3">
        <v>445109681</v>
      </c>
      <c r="I80" s="3">
        <v>0</v>
      </c>
      <c r="J80" s="3">
        <v>445109681</v>
      </c>
      <c r="K80" s="4">
        <v>0.44486999999999999</v>
      </c>
      <c r="L80" s="3">
        <f t="shared" si="1"/>
        <v>6928.855557285181</v>
      </c>
    </row>
    <row r="81" spans="1:12" x14ac:dyDescent="0.25">
      <c r="A81" s="5" t="s">
        <v>67</v>
      </c>
      <c r="B81" s="5" t="s">
        <v>68</v>
      </c>
      <c r="C81" s="5" t="s">
        <v>233</v>
      </c>
      <c r="D81" s="6">
        <v>1271</v>
      </c>
      <c r="E81" s="6">
        <v>58</v>
      </c>
      <c r="F81" s="6">
        <v>240</v>
      </c>
      <c r="G81" s="6">
        <v>1569</v>
      </c>
      <c r="H81" s="6">
        <v>172848841</v>
      </c>
      <c r="I81" s="6">
        <v>345697681</v>
      </c>
      <c r="J81" s="6">
        <v>518546522</v>
      </c>
      <c r="K81" s="7">
        <v>0.18992635999999999</v>
      </c>
      <c r="L81" s="6">
        <f t="shared" si="1"/>
        <v>330494.91523263225</v>
      </c>
    </row>
    <row r="82" spans="1:12" x14ac:dyDescent="0.25">
      <c r="A82" s="2" t="s">
        <v>67</v>
      </c>
      <c r="B82" s="2" t="s">
        <v>68</v>
      </c>
      <c r="C82" s="2" t="s">
        <v>234</v>
      </c>
      <c r="D82" s="3">
        <v>12248</v>
      </c>
      <c r="E82" s="3">
        <v>609</v>
      </c>
      <c r="F82" s="3">
        <v>659</v>
      </c>
      <c r="G82" s="3">
        <v>13516</v>
      </c>
      <c r="H82" s="3">
        <v>201102231</v>
      </c>
      <c r="I82" s="3">
        <v>402204462</v>
      </c>
      <c r="J82" s="3">
        <v>603306693</v>
      </c>
      <c r="K82" s="4">
        <v>0.228765</v>
      </c>
      <c r="L82" s="3">
        <f t="shared" si="1"/>
        <v>44636.482169280855</v>
      </c>
    </row>
    <row r="83" spans="1:12" x14ac:dyDescent="0.25">
      <c r="A83" s="5" t="s">
        <v>67</v>
      </c>
      <c r="B83" s="5" t="s">
        <v>68</v>
      </c>
      <c r="C83" s="5" t="s">
        <v>235</v>
      </c>
      <c r="D83" s="6">
        <v>70579</v>
      </c>
      <c r="E83" s="6">
        <v>2255</v>
      </c>
      <c r="F83" s="6">
        <v>693</v>
      </c>
      <c r="G83" s="6">
        <v>73527</v>
      </c>
      <c r="H83" s="6">
        <v>263605732</v>
      </c>
      <c r="I83" s="6">
        <v>527319195</v>
      </c>
      <c r="J83" s="6">
        <v>790924927</v>
      </c>
      <c r="K83" s="7">
        <v>0.2828</v>
      </c>
      <c r="L83" s="6">
        <f t="shared" si="1"/>
        <v>10756.931834564173</v>
      </c>
    </row>
    <row r="84" spans="1:12" x14ac:dyDescent="0.25">
      <c r="A84" s="2" t="s">
        <v>67</v>
      </c>
      <c r="B84" s="2" t="s">
        <v>68</v>
      </c>
      <c r="C84" s="2" t="s">
        <v>236</v>
      </c>
      <c r="D84" s="3">
        <v>70579</v>
      </c>
      <c r="E84" s="3">
        <v>2255</v>
      </c>
      <c r="F84" s="3">
        <v>693</v>
      </c>
      <c r="G84" s="3">
        <v>73527</v>
      </c>
      <c r="H84" s="3">
        <v>1301655996</v>
      </c>
      <c r="I84" s="3">
        <v>2603700772</v>
      </c>
      <c r="J84" s="3">
        <v>3905356768</v>
      </c>
      <c r="K84" s="4">
        <v>0.34027700000000011</v>
      </c>
      <c r="L84" s="3">
        <f t="shared" si="1"/>
        <v>53114.594203489876</v>
      </c>
    </row>
    <row r="85" spans="1:12" x14ac:dyDescent="0.25">
      <c r="A85" s="5" t="s">
        <v>67</v>
      </c>
      <c r="B85" s="5" t="s">
        <v>68</v>
      </c>
      <c r="C85" s="5" t="s">
        <v>226</v>
      </c>
      <c r="D85" s="6">
        <v>103457</v>
      </c>
      <c r="E85" s="6">
        <v>2800</v>
      </c>
      <c r="F85" s="6">
        <v>738</v>
      </c>
      <c r="G85" s="6">
        <v>106995</v>
      </c>
      <c r="H85" s="6">
        <v>1225470424</v>
      </c>
      <c r="I85" s="6">
        <v>2451329628</v>
      </c>
      <c r="J85" s="6">
        <v>3676800052</v>
      </c>
      <c r="K85" s="7">
        <v>0.3735</v>
      </c>
      <c r="L85" s="6">
        <f t="shared" si="1"/>
        <v>34364.223113229593</v>
      </c>
    </row>
    <row r="86" spans="1:12" x14ac:dyDescent="0.25">
      <c r="A86" s="2" t="s">
        <v>67</v>
      </c>
      <c r="B86" s="2" t="s">
        <v>68</v>
      </c>
      <c r="C86" s="2" t="s">
        <v>182</v>
      </c>
      <c r="D86" s="3">
        <v>79022</v>
      </c>
      <c r="E86" s="3">
        <v>81980</v>
      </c>
      <c r="F86" s="3">
        <v>1696</v>
      </c>
      <c r="G86" s="3">
        <v>162698</v>
      </c>
      <c r="H86" s="3">
        <v>1150666940</v>
      </c>
      <c r="I86" s="3">
        <v>2301291732</v>
      </c>
      <c r="J86" s="3">
        <v>3451958672</v>
      </c>
      <c r="K86" s="4">
        <v>0.30001</v>
      </c>
      <c r="L86" s="3">
        <f t="shared" si="1"/>
        <v>21216.970534364282</v>
      </c>
    </row>
    <row r="87" spans="1:12" x14ac:dyDescent="0.25">
      <c r="A87" s="5" t="s">
        <v>67</v>
      </c>
      <c r="B87" s="5" t="s">
        <v>68</v>
      </c>
      <c r="C87" s="5" t="s">
        <v>183</v>
      </c>
      <c r="D87" s="6">
        <v>78204</v>
      </c>
      <c r="E87" s="6">
        <v>2024</v>
      </c>
      <c r="F87" s="6">
        <v>985</v>
      </c>
      <c r="G87" s="6">
        <v>81213</v>
      </c>
      <c r="H87" s="6">
        <v>1287247964</v>
      </c>
      <c r="I87" s="6">
        <v>2574884708</v>
      </c>
      <c r="J87" s="6">
        <v>3862132672</v>
      </c>
      <c r="K87" s="7">
        <v>0.33566000000000001</v>
      </c>
      <c r="L87" s="6">
        <f t="shared" si="1"/>
        <v>47555.596665558471</v>
      </c>
    </row>
    <row r="88" spans="1:12" x14ac:dyDescent="0.25">
      <c r="A88" s="2" t="s">
        <v>67</v>
      </c>
      <c r="B88" s="2" t="s">
        <v>68</v>
      </c>
      <c r="C88" s="2" t="s">
        <v>20</v>
      </c>
      <c r="D88" s="3">
        <v>122650</v>
      </c>
      <c r="E88" s="3">
        <v>2497</v>
      </c>
      <c r="F88" s="3">
        <v>1299</v>
      </c>
      <c r="G88" s="3">
        <v>126446</v>
      </c>
      <c r="H88" s="3">
        <v>1195239778</v>
      </c>
      <c r="I88" s="3">
        <v>2390037336</v>
      </c>
      <c r="J88" s="3">
        <v>3585277114</v>
      </c>
      <c r="K88" s="4">
        <v>0.30721999999999999</v>
      </c>
      <c r="L88" s="3">
        <f t="shared" si="1"/>
        <v>28354.215348844566</v>
      </c>
    </row>
    <row r="89" spans="1:12" x14ac:dyDescent="0.25">
      <c r="A89" s="5" t="s">
        <v>67</v>
      </c>
      <c r="B89" s="5" t="s">
        <v>68</v>
      </c>
      <c r="C89" s="5" t="s">
        <v>20</v>
      </c>
      <c r="D89" s="6">
        <v>121069</v>
      </c>
      <c r="E89" s="6">
        <v>2434</v>
      </c>
      <c r="F89" s="6">
        <v>1299</v>
      </c>
      <c r="G89" s="6">
        <v>124802</v>
      </c>
      <c r="H89" s="6">
        <v>1194624560</v>
      </c>
      <c r="I89" s="6">
        <v>2389541900</v>
      </c>
      <c r="J89" s="6">
        <v>3584166460</v>
      </c>
      <c r="K89" s="7">
        <v>0.30712</v>
      </c>
      <c r="L89" s="6">
        <f t="shared" si="1"/>
        <v>28718.82229451451</v>
      </c>
    </row>
    <row r="90" spans="1:12" x14ac:dyDescent="0.25">
      <c r="A90" s="2" t="s">
        <v>104</v>
      </c>
      <c r="B90" s="2" t="s">
        <v>105</v>
      </c>
      <c r="C90" s="2" t="s">
        <v>237</v>
      </c>
      <c r="D90" s="3">
        <v>4225</v>
      </c>
      <c r="E90" s="3">
        <v>17</v>
      </c>
      <c r="F90" s="3">
        <v>109</v>
      </c>
      <c r="G90" s="3">
        <v>4351</v>
      </c>
      <c r="H90" s="3">
        <v>106651414</v>
      </c>
      <c r="I90" s="3">
        <v>0</v>
      </c>
      <c r="J90" s="3">
        <v>106651414</v>
      </c>
      <c r="K90" s="4">
        <v>0.97400000000000009</v>
      </c>
      <c r="L90" s="3">
        <f t="shared" si="1"/>
        <v>24511.931509997703</v>
      </c>
    </row>
    <row r="91" spans="1:12" x14ac:dyDescent="0.25">
      <c r="A91" s="5" t="s">
        <v>104</v>
      </c>
      <c r="B91" s="5" t="s">
        <v>105</v>
      </c>
      <c r="C91" s="5" t="s">
        <v>226</v>
      </c>
      <c r="D91" s="6">
        <v>46415</v>
      </c>
      <c r="E91" s="6">
        <v>737</v>
      </c>
      <c r="F91" s="6">
        <v>1167</v>
      </c>
      <c r="G91" s="6">
        <v>48319</v>
      </c>
      <c r="H91" s="6">
        <v>200433663</v>
      </c>
      <c r="I91" s="6">
        <v>0</v>
      </c>
      <c r="J91" s="6">
        <v>200433663</v>
      </c>
      <c r="K91" s="7">
        <v>0.9890000000000001</v>
      </c>
      <c r="L91" s="6">
        <f t="shared" si="1"/>
        <v>4148.1335085577102</v>
      </c>
    </row>
    <row r="92" spans="1:12" x14ac:dyDescent="0.25">
      <c r="A92" s="2" t="s">
        <v>104</v>
      </c>
      <c r="B92" s="2" t="s">
        <v>105</v>
      </c>
      <c r="C92" s="2" t="s">
        <v>238</v>
      </c>
      <c r="D92" s="3">
        <v>41769</v>
      </c>
      <c r="E92" s="3">
        <v>528</v>
      </c>
      <c r="F92" s="3">
        <v>1206</v>
      </c>
      <c r="G92" s="3">
        <v>43503</v>
      </c>
      <c r="H92" s="3">
        <v>198678877</v>
      </c>
      <c r="I92" s="3">
        <v>0</v>
      </c>
      <c r="J92" s="3">
        <v>198678877</v>
      </c>
      <c r="K92" s="4">
        <v>0.97799999999999998</v>
      </c>
      <c r="L92" s="3">
        <f t="shared" si="1"/>
        <v>4567.0155391582193</v>
      </c>
    </row>
    <row r="93" spans="1:12" x14ac:dyDescent="0.25">
      <c r="A93" s="5" t="s">
        <v>104</v>
      </c>
      <c r="B93" s="5" t="s">
        <v>105</v>
      </c>
      <c r="C93" s="5" t="s">
        <v>183</v>
      </c>
      <c r="D93" s="6">
        <v>60904</v>
      </c>
      <c r="E93" s="6">
        <v>706</v>
      </c>
      <c r="F93" s="6">
        <v>924</v>
      </c>
      <c r="G93" s="6">
        <v>62534</v>
      </c>
      <c r="H93" s="6">
        <v>240205945</v>
      </c>
      <c r="I93" s="6">
        <v>0</v>
      </c>
      <c r="J93" s="6">
        <v>240205945</v>
      </c>
      <c r="K93" s="7">
        <v>0.99907000000000001</v>
      </c>
      <c r="L93" s="6">
        <f t="shared" si="1"/>
        <v>3841.2055042057123</v>
      </c>
    </row>
    <row r="94" spans="1:12" x14ac:dyDescent="0.25">
      <c r="A94" s="2" t="s">
        <v>104</v>
      </c>
      <c r="B94" s="2" t="s">
        <v>105</v>
      </c>
      <c r="C94" s="2" t="s">
        <v>239</v>
      </c>
      <c r="D94" s="3">
        <v>80886</v>
      </c>
      <c r="E94" s="3">
        <v>703</v>
      </c>
      <c r="F94" s="3">
        <v>926</v>
      </c>
      <c r="G94" s="3">
        <v>82515</v>
      </c>
      <c r="H94" s="3">
        <v>451311960</v>
      </c>
      <c r="I94" s="3">
        <v>0</v>
      </c>
      <c r="J94" s="3">
        <v>451311960</v>
      </c>
      <c r="K94" s="4">
        <v>0.97227999999999992</v>
      </c>
      <c r="L94" s="3">
        <f t="shared" si="1"/>
        <v>5469.4535538992914</v>
      </c>
    </row>
    <row r="95" spans="1:12" x14ac:dyDescent="0.25">
      <c r="A95" s="5" t="s">
        <v>104</v>
      </c>
      <c r="B95" s="5" t="s">
        <v>105</v>
      </c>
      <c r="C95" s="5" t="s">
        <v>106</v>
      </c>
      <c r="D95" s="6">
        <v>70580</v>
      </c>
      <c r="E95" s="6">
        <v>569</v>
      </c>
      <c r="F95" s="6">
        <v>790</v>
      </c>
      <c r="G95" s="6">
        <v>71939</v>
      </c>
      <c r="H95" s="6">
        <v>464344397</v>
      </c>
      <c r="I95" s="6">
        <v>0</v>
      </c>
      <c r="J95" s="6">
        <v>464344397</v>
      </c>
      <c r="K95" s="7">
        <v>0.99953999999999998</v>
      </c>
      <c r="L95" s="6">
        <f t="shared" si="1"/>
        <v>6454.6962982526866</v>
      </c>
    </row>
    <row r="96" spans="1:12" x14ac:dyDescent="0.25">
      <c r="A96" s="2" t="s">
        <v>104</v>
      </c>
      <c r="B96" s="2" t="s">
        <v>105</v>
      </c>
      <c r="C96" s="2" t="s">
        <v>106</v>
      </c>
      <c r="D96" s="3">
        <v>70580</v>
      </c>
      <c r="E96" s="3">
        <v>569</v>
      </c>
      <c r="F96" s="3">
        <v>790</v>
      </c>
      <c r="G96" s="3">
        <v>71939</v>
      </c>
      <c r="H96" s="3">
        <v>277531689</v>
      </c>
      <c r="I96" s="3">
        <v>0</v>
      </c>
      <c r="J96" s="3">
        <v>277531689</v>
      </c>
      <c r="K96" s="4">
        <v>0.59741</v>
      </c>
      <c r="L96" s="3">
        <f t="shared" si="1"/>
        <v>3857.8752693254005</v>
      </c>
    </row>
    <row r="97" spans="1:12" x14ac:dyDescent="0.25">
      <c r="A97" s="5" t="s">
        <v>155</v>
      </c>
      <c r="B97" s="5" t="s">
        <v>156</v>
      </c>
      <c r="C97" s="5" t="s">
        <v>227</v>
      </c>
      <c r="D97" s="6">
        <v>31380</v>
      </c>
      <c r="E97" s="6">
        <v>3676</v>
      </c>
      <c r="F97" s="6">
        <v>31</v>
      </c>
      <c r="G97" s="6">
        <v>35087</v>
      </c>
      <c r="H97" s="6">
        <v>811139545</v>
      </c>
      <c r="I97" s="6">
        <v>0</v>
      </c>
      <c r="J97" s="6">
        <v>811139545</v>
      </c>
      <c r="K97" s="7">
        <v>0.98835846999999999</v>
      </c>
      <c r="L97" s="6">
        <f t="shared" si="1"/>
        <v>23117.950950494484</v>
      </c>
    </row>
    <row r="98" spans="1:12" x14ac:dyDescent="0.25">
      <c r="A98" s="2" t="s">
        <v>155</v>
      </c>
      <c r="B98" s="2" t="s">
        <v>156</v>
      </c>
      <c r="C98" s="2" t="s">
        <v>204</v>
      </c>
      <c r="D98" s="3">
        <v>50335</v>
      </c>
      <c r="E98" s="3">
        <v>3730</v>
      </c>
      <c r="F98" s="3">
        <v>31</v>
      </c>
      <c r="G98" s="3">
        <v>54096</v>
      </c>
      <c r="H98" s="3">
        <v>811416229</v>
      </c>
      <c r="I98" s="3">
        <v>0</v>
      </c>
      <c r="J98" s="3">
        <v>811416229</v>
      </c>
      <c r="K98" s="4">
        <v>0.99869900999999994</v>
      </c>
      <c r="L98" s="3">
        <f t="shared" si="1"/>
        <v>14999.560577491866</v>
      </c>
    </row>
    <row r="99" spans="1:12" x14ac:dyDescent="0.25">
      <c r="A99" s="5" t="s">
        <v>155</v>
      </c>
      <c r="B99" s="5" t="s">
        <v>156</v>
      </c>
      <c r="C99" s="5" t="s">
        <v>240</v>
      </c>
      <c r="D99" s="6">
        <v>59091</v>
      </c>
      <c r="E99" s="6">
        <v>1871</v>
      </c>
      <c r="F99" s="6">
        <v>34</v>
      </c>
      <c r="G99" s="6">
        <v>60996</v>
      </c>
      <c r="H99" s="6">
        <v>811759800</v>
      </c>
      <c r="I99" s="6">
        <v>0</v>
      </c>
      <c r="J99" s="6">
        <v>811759800</v>
      </c>
      <c r="K99" s="7">
        <v>0.99912188000000002</v>
      </c>
      <c r="L99" s="6">
        <f t="shared" si="1"/>
        <v>13308.410387566399</v>
      </c>
    </row>
    <row r="100" spans="1:12" x14ac:dyDescent="0.25">
      <c r="A100" s="2" t="s">
        <v>155</v>
      </c>
      <c r="B100" s="2" t="s">
        <v>156</v>
      </c>
      <c r="C100" s="2" t="s">
        <v>241</v>
      </c>
      <c r="D100" s="3">
        <v>62810</v>
      </c>
      <c r="E100" s="3">
        <v>1627</v>
      </c>
      <c r="F100" s="3">
        <v>1732</v>
      </c>
      <c r="G100" s="3">
        <v>66169</v>
      </c>
      <c r="H100" s="3">
        <v>1075186996</v>
      </c>
      <c r="I100" s="3">
        <v>0</v>
      </c>
      <c r="J100" s="3">
        <v>1075186996</v>
      </c>
      <c r="K100" s="4">
        <v>0.99326999999999999</v>
      </c>
      <c r="L100" s="3">
        <f t="shared" si="1"/>
        <v>16249.104505130801</v>
      </c>
    </row>
    <row r="101" spans="1:12" x14ac:dyDescent="0.25">
      <c r="A101" s="5" t="s">
        <v>155</v>
      </c>
      <c r="B101" s="5" t="s">
        <v>156</v>
      </c>
      <c r="C101" s="5" t="s">
        <v>242</v>
      </c>
      <c r="D101" s="6">
        <v>74869</v>
      </c>
      <c r="E101" s="6">
        <v>1789</v>
      </c>
      <c r="F101" s="6">
        <v>1030</v>
      </c>
      <c r="G101" s="6">
        <v>77688</v>
      </c>
      <c r="H101" s="6">
        <v>1076512610</v>
      </c>
      <c r="I101" s="6">
        <v>0</v>
      </c>
      <c r="J101" s="6">
        <v>1076512610</v>
      </c>
      <c r="K101" s="7">
        <v>0.99448999999999999</v>
      </c>
      <c r="L101" s="6">
        <f t="shared" si="1"/>
        <v>13856.871202759758</v>
      </c>
    </row>
    <row r="102" spans="1:12" x14ac:dyDescent="0.25">
      <c r="A102" s="2" t="s">
        <v>155</v>
      </c>
      <c r="B102" s="2" t="s">
        <v>156</v>
      </c>
      <c r="C102" s="2" t="s">
        <v>243</v>
      </c>
      <c r="D102" s="3">
        <v>82852</v>
      </c>
      <c r="E102" s="3">
        <v>1782</v>
      </c>
      <c r="F102" s="3">
        <v>1486</v>
      </c>
      <c r="G102" s="3">
        <v>86120</v>
      </c>
      <c r="H102" s="3">
        <v>835221269</v>
      </c>
      <c r="I102" s="3">
        <v>0</v>
      </c>
      <c r="J102" s="3">
        <v>835221269</v>
      </c>
      <c r="K102" s="4">
        <v>0.49641999999999997</v>
      </c>
      <c r="L102" s="3">
        <f t="shared" si="1"/>
        <v>9698.3426497909895</v>
      </c>
    </row>
    <row r="103" spans="1:12" x14ac:dyDescent="0.25">
      <c r="A103" s="5" t="s">
        <v>155</v>
      </c>
      <c r="B103" s="5" t="s">
        <v>156</v>
      </c>
      <c r="C103" s="5" t="s">
        <v>244</v>
      </c>
      <c r="D103" s="6">
        <v>64351</v>
      </c>
      <c r="E103" s="6">
        <v>1527</v>
      </c>
      <c r="F103" s="6">
        <v>1278</v>
      </c>
      <c r="G103" s="6">
        <v>67156</v>
      </c>
      <c r="H103" s="6">
        <v>832617717</v>
      </c>
      <c r="I103" s="6">
        <v>0</v>
      </c>
      <c r="J103" s="6">
        <v>832617717</v>
      </c>
      <c r="K103" s="7">
        <v>0.49487999999999999</v>
      </c>
      <c r="L103" s="6">
        <f t="shared" si="1"/>
        <v>12398.262508189886</v>
      </c>
    </row>
    <row r="104" spans="1:12" x14ac:dyDescent="0.25">
      <c r="A104" s="2" t="s">
        <v>155</v>
      </c>
      <c r="B104" s="2" t="s">
        <v>156</v>
      </c>
      <c r="C104" s="2" t="s">
        <v>245</v>
      </c>
      <c r="D104" s="3">
        <v>52689</v>
      </c>
      <c r="E104" s="3">
        <v>2701</v>
      </c>
      <c r="F104" s="3">
        <v>826</v>
      </c>
      <c r="G104" s="3">
        <v>56216</v>
      </c>
      <c r="H104" s="3">
        <v>775293668</v>
      </c>
      <c r="I104" s="3">
        <v>0</v>
      </c>
      <c r="J104" s="3">
        <v>775293668</v>
      </c>
      <c r="K104" s="4">
        <v>0.53927999999999998</v>
      </c>
      <c r="L104" s="3">
        <f t="shared" si="1"/>
        <v>13791.33463782553</v>
      </c>
    </row>
    <row r="105" spans="1:12" x14ac:dyDescent="0.25">
      <c r="A105" s="5" t="s">
        <v>155</v>
      </c>
      <c r="B105" s="5" t="s">
        <v>156</v>
      </c>
      <c r="C105" s="5" t="s">
        <v>157</v>
      </c>
      <c r="D105" s="6">
        <v>0</v>
      </c>
      <c r="E105" s="6">
        <v>1</v>
      </c>
      <c r="F105" s="6">
        <v>0</v>
      </c>
      <c r="G105" s="6">
        <v>1</v>
      </c>
      <c r="H105" s="6">
        <v>0</v>
      </c>
      <c r="I105" s="6">
        <v>0</v>
      </c>
      <c r="J105" s="6">
        <v>0</v>
      </c>
      <c r="K105" s="7">
        <v>0</v>
      </c>
      <c r="L105" s="6">
        <f t="shared" si="1"/>
        <v>0</v>
      </c>
    </row>
    <row r="106" spans="1:12" x14ac:dyDescent="0.25">
      <c r="A106" s="2" t="s">
        <v>118</v>
      </c>
      <c r="B106" s="2" t="s">
        <v>119</v>
      </c>
      <c r="C106" s="2" t="s">
        <v>246</v>
      </c>
      <c r="D106" s="3">
        <v>11332</v>
      </c>
      <c r="E106" s="3">
        <v>4135</v>
      </c>
      <c r="F106" s="3">
        <v>284</v>
      </c>
      <c r="G106" s="3">
        <v>15751</v>
      </c>
      <c r="H106" s="3">
        <v>12907077</v>
      </c>
      <c r="I106" s="3">
        <v>265132646</v>
      </c>
      <c r="J106" s="3">
        <v>278039723</v>
      </c>
      <c r="K106" s="4">
        <v>0.34899999999999998</v>
      </c>
      <c r="L106" s="3">
        <f t="shared" si="1"/>
        <v>17652.194971747824</v>
      </c>
    </row>
    <row r="107" spans="1:12" x14ac:dyDescent="0.25">
      <c r="A107" s="5" t="s">
        <v>118</v>
      </c>
      <c r="B107" s="5" t="s">
        <v>119</v>
      </c>
      <c r="C107" s="5" t="s">
        <v>247</v>
      </c>
      <c r="D107" s="6">
        <v>17219</v>
      </c>
      <c r="E107" s="6">
        <v>3122</v>
      </c>
      <c r="F107" s="6">
        <v>333</v>
      </c>
      <c r="G107" s="6">
        <v>20674</v>
      </c>
      <c r="H107" s="6">
        <v>12907077</v>
      </c>
      <c r="I107" s="6">
        <v>265132646</v>
      </c>
      <c r="J107" s="6">
        <v>278039723</v>
      </c>
      <c r="K107" s="7">
        <v>0.34899999999999998</v>
      </c>
      <c r="L107" s="6">
        <f t="shared" si="1"/>
        <v>13448.762842217278</v>
      </c>
    </row>
    <row r="108" spans="1:12" x14ac:dyDescent="0.25">
      <c r="A108" s="2" t="s">
        <v>118</v>
      </c>
      <c r="B108" s="2" t="s">
        <v>119</v>
      </c>
      <c r="C108" s="2" t="s">
        <v>248</v>
      </c>
      <c r="D108" s="3">
        <v>59835</v>
      </c>
      <c r="E108" s="3">
        <v>3373</v>
      </c>
      <c r="F108" s="3">
        <v>368</v>
      </c>
      <c r="G108" s="3">
        <v>63576</v>
      </c>
      <c r="H108" s="3">
        <v>12907077</v>
      </c>
      <c r="I108" s="3">
        <v>265140805</v>
      </c>
      <c r="J108" s="3">
        <v>278047882</v>
      </c>
      <c r="K108" s="4">
        <v>0.34877000000000002</v>
      </c>
      <c r="L108" s="3">
        <f t="shared" si="1"/>
        <v>4373.472410972694</v>
      </c>
    </row>
    <row r="109" spans="1:12" x14ac:dyDescent="0.25">
      <c r="A109" s="5" t="s">
        <v>118</v>
      </c>
      <c r="B109" s="5" t="s">
        <v>119</v>
      </c>
      <c r="C109" s="5" t="s">
        <v>249</v>
      </c>
      <c r="D109" s="6">
        <v>41465</v>
      </c>
      <c r="E109" s="6">
        <v>3409</v>
      </c>
      <c r="F109" s="6">
        <v>375</v>
      </c>
      <c r="G109" s="6">
        <v>45249</v>
      </c>
      <c r="H109" s="6">
        <v>12907077</v>
      </c>
      <c r="I109" s="6">
        <v>265454518</v>
      </c>
      <c r="J109" s="6">
        <v>278361595</v>
      </c>
      <c r="K109" s="7">
        <v>0.34916999999999998</v>
      </c>
      <c r="L109" s="6">
        <f t="shared" si="1"/>
        <v>6151.7734093571125</v>
      </c>
    </row>
    <row r="110" spans="1:12" x14ac:dyDescent="0.25">
      <c r="A110" s="2" t="s">
        <v>118</v>
      </c>
      <c r="B110" s="2" t="s">
        <v>119</v>
      </c>
      <c r="C110" s="2" t="s">
        <v>250</v>
      </c>
      <c r="D110" s="3">
        <v>49621</v>
      </c>
      <c r="E110" s="3">
        <v>3630</v>
      </c>
      <c r="F110" s="3">
        <v>373</v>
      </c>
      <c r="G110" s="3">
        <v>53624</v>
      </c>
      <c r="H110" s="3">
        <v>12907077</v>
      </c>
      <c r="I110" s="3">
        <v>265691276</v>
      </c>
      <c r="J110" s="3">
        <v>278598353</v>
      </c>
      <c r="K110" s="4">
        <v>0.34947</v>
      </c>
      <c r="L110" s="3">
        <f t="shared" si="1"/>
        <v>5195.4041660450548</v>
      </c>
    </row>
    <row r="111" spans="1:12" x14ac:dyDescent="0.25">
      <c r="A111" s="5" t="s">
        <v>118</v>
      </c>
      <c r="B111" s="5" t="s">
        <v>119</v>
      </c>
      <c r="C111" s="5" t="s">
        <v>232</v>
      </c>
      <c r="D111" s="6">
        <v>63709</v>
      </c>
      <c r="E111" s="6">
        <v>3415</v>
      </c>
      <c r="F111" s="6">
        <v>198</v>
      </c>
      <c r="G111" s="6">
        <v>67322</v>
      </c>
      <c r="H111" s="6">
        <v>12906179</v>
      </c>
      <c r="I111" s="6">
        <v>265867190</v>
      </c>
      <c r="J111" s="6">
        <v>278773369</v>
      </c>
      <c r="K111" s="7">
        <v>0.34969</v>
      </c>
      <c r="L111" s="6">
        <f t="shared" si="1"/>
        <v>4140.8955319212146</v>
      </c>
    </row>
    <row r="112" spans="1:12" x14ac:dyDescent="0.25">
      <c r="A112" s="2" t="s">
        <v>118</v>
      </c>
      <c r="B112" s="2" t="s">
        <v>119</v>
      </c>
      <c r="C112" s="2" t="s">
        <v>232</v>
      </c>
      <c r="D112" s="3">
        <v>63709</v>
      </c>
      <c r="E112" s="3">
        <v>3415</v>
      </c>
      <c r="F112" s="3">
        <v>198</v>
      </c>
      <c r="G112" s="3">
        <v>67322</v>
      </c>
      <c r="H112" s="3">
        <v>12906179</v>
      </c>
      <c r="I112" s="3">
        <v>265867190</v>
      </c>
      <c r="J112" s="3">
        <v>278773369</v>
      </c>
      <c r="K112" s="4">
        <v>0.34969</v>
      </c>
      <c r="L112" s="3">
        <f t="shared" si="1"/>
        <v>4140.8955319212146</v>
      </c>
    </row>
    <row r="113" spans="1:12" x14ac:dyDescent="0.25">
      <c r="A113" s="5" t="s">
        <v>118</v>
      </c>
      <c r="B113" s="5" t="s">
        <v>119</v>
      </c>
      <c r="C113" s="5" t="s">
        <v>251</v>
      </c>
      <c r="D113" s="6">
        <v>57885</v>
      </c>
      <c r="E113" s="6">
        <v>3612</v>
      </c>
      <c r="F113" s="6">
        <v>182</v>
      </c>
      <c r="G113" s="6">
        <v>61679</v>
      </c>
      <c r="H113" s="6">
        <v>12907077</v>
      </c>
      <c r="I113" s="6">
        <v>266188524</v>
      </c>
      <c r="J113" s="6">
        <v>279095601</v>
      </c>
      <c r="K113" s="7">
        <v>0.35009000000000001</v>
      </c>
      <c r="L113" s="6">
        <f t="shared" si="1"/>
        <v>4524.9696168874334</v>
      </c>
    </row>
    <row r="114" spans="1:12" x14ac:dyDescent="0.25">
      <c r="A114" s="2" t="s">
        <v>118</v>
      </c>
      <c r="B114" s="2" t="s">
        <v>119</v>
      </c>
      <c r="C114" s="2" t="s">
        <v>120</v>
      </c>
      <c r="D114" s="3">
        <v>48663</v>
      </c>
      <c r="E114" s="3">
        <v>3513</v>
      </c>
      <c r="F114" s="3">
        <v>155</v>
      </c>
      <c r="G114" s="3">
        <v>52331</v>
      </c>
      <c r="H114" s="3">
        <v>12907078</v>
      </c>
      <c r="I114" s="3">
        <v>222483243</v>
      </c>
      <c r="J114" s="3">
        <v>235390321</v>
      </c>
      <c r="K114" s="4">
        <v>0.29526999999999998</v>
      </c>
      <c r="L114" s="3">
        <f t="shared" si="1"/>
        <v>4498.1047753721505</v>
      </c>
    </row>
    <row r="115" spans="1:12" x14ac:dyDescent="0.25">
      <c r="A115" s="5" t="s">
        <v>141</v>
      </c>
      <c r="B115" s="5" t="s">
        <v>142</v>
      </c>
      <c r="C115" s="5" t="s">
        <v>252</v>
      </c>
      <c r="D115" s="6">
        <v>19373</v>
      </c>
      <c r="E115" s="6">
        <v>203</v>
      </c>
      <c r="F115" s="6">
        <v>1531</v>
      </c>
      <c r="G115" s="6">
        <v>21107</v>
      </c>
      <c r="H115" s="6">
        <v>1115695556</v>
      </c>
      <c r="I115" s="6">
        <v>0</v>
      </c>
      <c r="J115" s="6">
        <v>1115695556</v>
      </c>
      <c r="K115" s="7">
        <v>0.55232453000000004</v>
      </c>
      <c r="L115" s="6">
        <f t="shared" si="1"/>
        <v>52859.030463827163</v>
      </c>
    </row>
    <row r="116" spans="1:12" x14ac:dyDescent="0.25">
      <c r="A116" s="2" t="s">
        <v>141</v>
      </c>
      <c r="B116" s="2" t="s">
        <v>142</v>
      </c>
      <c r="C116" s="2" t="s">
        <v>253</v>
      </c>
      <c r="D116" s="3">
        <v>22493</v>
      </c>
      <c r="E116" s="3">
        <v>171</v>
      </c>
      <c r="F116" s="3">
        <v>1293</v>
      </c>
      <c r="G116" s="3">
        <v>23957</v>
      </c>
      <c r="H116" s="3">
        <v>1115695556</v>
      </c>
      <c r="I116" s="3">
        <v>0</v>
      </c>
      <c r="J116" s="3">
        <v>1115695556</v>
      </c>
      <c r="K116" s="4">
        <v>0.55232453000000004</v>
      </c>
      <c r="L116" s="3">
        <f t="shared" si="1"/>
        <v>46570.754101097802</v>
      </c>
    </row>
    <row r="117" spans="1:12" x14ac:dyDescent="0.25">
      <c r="A117" s="5" t="s">
        <v>141</v>
      </c>
      <c r="B117" s="5" t="s">
        <v>142</v>
      </c>
      <c r="C117" s="5" t="s">
        <v>254</v>
      </c>
      <c r="D117" s="6">
        <v>21749</v>
      </c>
      <c r="E117" s="6">
        <v>149</v>
      </c>
      <c r="F117" s="6">
        <v>1221</v>
      </c>
      <c r="G117" s="6">
        <v>23119</v>
      </c>
      <c r="H117" s="6">
        <v>1115693556</v>
      </c>
      <c r="I117" s="6">
        <v>0</v>
      </c>
      <c r="J117" s="6">
        <v>1115693556</v>
      </c>
      <c r="K117" s="7">
        <v>0.55232354000000006</v>
      </c>
      <c r="L117" s="6">
        <f t="shared" si="1"/>
        <v>48258.729010770359</v>
      </c>
    </row>
    <row r="118" spans="1:12" x14ac:dyDescent="0.25">
      <c r="A118" s="2" t="s">
        <v>141</v>
      </c>
      <c r="B118" s="2" t="s">
        <v>142</v>
      </c>
      <c r="C118" s="2" t="s">
        <v>255</v>
      </c>
      <c r="D118" s="3">
        <v>53645</v>
      </c>
      <c r="E118" s="3">
        <v>397</v>
      </c>
      <c r="F118" s="3">
        <v>1164</v>
      </c>
      <c r="G118" s="3">
        <v>55206</v>
      </c>
      <c r="H118" s="3">
        <v>1115693556</v>
      </c>
      <c r="I118" s="3">
        <v>0</v>
      </c>
      <c r="J118" s="3">
        <v>1115693556</v>
      </c>
      <c r="K118" s="4">
        <v>0.55232354000000006</v>
      </c>
      <c r="L118" s="3">
        <f t="shared" si="1"/>
        <v>20209.643082273666</v>
      </c>
    </row>
    <row r="119" spans="1:12" x14ac:dyDescent="0.25">
      <c r="A119" s="5" t="s">
        <v>141</v>
      </c>
      <c r="B119" s="5" t="s">
        <v>142</v>
      </c>
      <c r="C119" s="5" t="s">
        <v>250</v>
      </c>
      <c r="D119" s="6">
        <v>44395</v>
      </c>
      <c r="E119" s="6">
        <v>336</v>
      </c>
      <c r="F119" s="6">
        <v>1225</v>
      </c>
      <c r="G119" s="6">
        <v>45956</v>
      </c>
      <c r="H119" s="6">
        <v>998462635</v>
      </c>
      <c r="I119" s="6">
        <v>0</v>
      </c>
      <c r="J119" s="6">
        <v>998462635</v>
      </c>
      <c r="K119" s="7">
        <v>0.49428843</v>
      </c>
      <c r="L119" s="6">
        <f t="shared" si="1"/>
        <v>21726.491317782227</v>
      </c>
    </row>
    <row r="120" spans="1:12" x14ac:dyDescent="0.25">
      <c r="A120" s="2" t="s">
        <v>141</v>
      </c>
      <c r="B120" s="2" t="s">
        <v>142</v>
      </c>
      <c r="C120" s="2" t="s">
        <v>256</v>
      </c>
      <c r="D120" s="3">
        <v>37292</v>
      </c>
      <c r="E120" s="3">
        <v>175</v>
      </c>
      <c r="F120" s="3">
        <v>1260</v>
      </c>
      <c r="G120" s="3">
        <v>38727</v>
      </c>
      <c r="H120" s="3">
        <v>995335937</v>
      </c>
      <c r="I120" s="3">
        <v>0</v>
      </c>
      <c r="J120" s="3">
        <v>995335937</v>
      </c>
      <c r="K120" s="4">
        <v>0.49274000000000001</v>
      </c>
      <c r="L120" s="3">
        <f t="shared" si="1"/>
        <v>25701.343687866345</v>
      </c>
    </row>
    <row r="121" spans="1:12" x14ac:dyDescent="0.25">
      <c r="A121" s="5" t="s">
        <v>141</v>
      </c>
      <c r="B121" s="5" t="s">
        <v>142</v>
      </c>
      <c r="C121" s="5" t="s">
        <v>257</v>
      </c>
      <c r="D121" s="6">
        <v>29338</v>
      </c>
      <c r="E121" s="6">
        <v>178</v>
      </c>
      <c r="F121" s="6">
        <v>1070</v>
      </c>
      <c r="G121" s="6">
        <v>30586</v>
      </c>
      <c r="H121" s="6">
        <v>988559510</v>
      </c>
      <c r="I121" s="6">
        <v>0</v>
      </c>
      <c r="J121" s="6">
        <v>988559510</v>
      </c>
      <c r="K121" s="7">
        <v>0.48938999999999999</v>
      </c>
      <c r="L121" s="6">
        <f t="shared" si="1"/>
        <v>32320.653566991434</v>
      </c>
    </row>
    <row r="122" spans="1:12" x14ac:dyDescent="0.25">
      <c r="A122" s="2" t="s">
        <v>141</v>
      </c>
      <c r="B122" s="2" t="s">
        <v>142</v>
      </c>
      <c r="C122" s="2" t="s">
        <v>257</v>
      </c>
      <c r="D122" s="3">
        <v>29338</v>
      </c>
      <c r="E122" s="3">
        <v>178</v>
      </c>
      <c r="F122" s="3">
        <v>1070</v>
      </c>
      <c r="G122" s="3">
        <v>30586</v>
      </c>
      <c r="H122" s="3">
        <v>1002196725</v>
      </c>
      <c r="I122" s="3">
        <v>0</v>
      </c>
      <c r="J122" s="3">
        <v>1002196725</v>
      </c>
      <c r="K122" s="4">
        <v>0.49614000000000003</v>
      </c>
      <c r="L122" s="3">
        <f t="shared" si="1"/>
        <v>32766.518178251488</v>
      </c>
    </row>
    <row r="123" spans="1:12" x14ac:dyDescent="0.25">
      <c r="A123" s="5" t="s">
        <v>141</v>
      </c>
      <c r="B123" s="5" t="s">
        <v>142</v>
      </c>
      <c r="C123" s="5" t="s">
        <v>51</v>
      </c>
      <c r="D123" s="6">
        <v>27603</v>
      </c>
      <c r="E123" s="6">
        <v>301</v>
      </c>
      <c r="F123" s="6">
        <v>1058</v>
      </c>
      <c r="G123" s="6">
        <v>28962</v>
      </c>
      <c r="H123" s="6">
        <v>1002045228</v>
      </c>
      <c r="I123" s="6">
        <v>0</v>
      </c>
      <c r="J123" s="6">
        <v>1002045228</v>
      </c>
      <c r="K123" s="7">
        <v>0.44962000000000002</v>
      </c>
      <c r="L123" s="6">
        <f t="shared" si="1"/>
        <v>34598.61984669567</v>
      </c>
    </row>
    <row r="124" spans="1:12" x14ac:dyDescent="0.25">
      <c r="A124" s="2" t="s">
        <v>65</v>
      </c>
      <c r="B124" s="2" t="s">
        <v>66</v>
      </c>
      <c r="C124" s="2" t="s">
        <v>258</v>
      </c>
      <c r="D124" s="3">
        <v>33854</v>
      </c>
      <c r="E124" s="3">
        <v>1700</v>
      </c>
      <c r="F124" s="3">
        <v>1700</v>
      </c>
      <c r="G124" s="3">
        <v>37254</v>
      </c>
      <c r="H124" s="3">
        <v>1468701926</v>
      </c>
      <c r="I124" s="3">
        <v>0</v>
      </c>
      <c r="J124" s="3">
        <v>1468701926</v>
      </c>
      <c r="K124" s="4">
        <v>0.89323614000000007</v>
      </c>
      <c r="L124" s="3">
        <f t="shared" si="1"/>
        <v>39424.006173833681</v>
      </c>
    </row>
    <row r="125" spans="1:12" x14ac:dyDescent="0.25">
      <c r="A125" s="5" t="s">
        <v>65</v>
      </c>
      <c r="B125" s="5" t="s">
        <v>66</v>
      </c>
      <c r="C125" s="5" t="s">
        <v>259</v>
      </c>
      <c r="D125" s="6">
        <v>165446</v>
      </c>
      <c r="E125" s="6">
        <v>2403</v>
      </c>
      <c r="F125" s="6">
        <v>2403</v>
      </c>
      <c r="G125" s="6">
        <v>170252</v>
      </c>
      <c r="H125" s="6">
        <v>1847994874</v>
      </c>
      <c r="I125" s="6">
        <v>0</v>
      </c>
      <c r="J125" s="6">
        <v>1847994874</v>
      </c>
      <c r="K125" s="7">
        <v>0.98475368000000008</v>
      </c>
      <c r="L125" s="6">
        <f t="shared" si="1"/>
        <v>10854.46792989216</v>
      </c>
    </row>
    <row r="126" spans="1:12" x14ac:dyDescent="0.25">
      <c r="A126" s="2" t="s">
        <v>65</v>
      </c>
      <c r="B126" s="2" t="s">
        <v>66</v>
      </c>
      <c r="C126" s="2" t="s">
        <v>259</v>
      </c>
      <c r="D126" s="3">
        <v>165446</v>
      </c>
      <c r="E126" s="3">
        <v>2403</v>
      </c>
      <c r="F126" s="3">
        <v>2403</v>
      </c>
      <c r="G126" s="3">
        <v>170252</v>
      </c>
      <c r="H126" s="3">
        <v>1847994874</v>
      </c>
      <c r="I126" s="3">
        <v>0</v>
      </c>
      <c r="J126" s="3">
        <v>1847994874</v>
      </c>
      <c r="K126" s="4">
        <v>0.98475368000000008</v>
      </c>
      <c r="L126" s="3">
        <f t="shared" si="1"/>
        <v>10854.46792989216</v>
      </c>
    </row>
    <row r="127" spans="1:12" x14ac:dyDescent="0.25">
      <c r="A127" s="5" t="s">
        <v>65</v>
      </c>
      <c r="B127" s="5" t="s">
        <v>66</v>
      </c>
      <c r="C127" s="5" t="s">
        <v>260</v>
      </c>
      <c r="D127" s="6">
        <v>303409</v>
      </c>
      <c r="E127" s="6">
        <v>2316</v>
      </c>
      <c r="F127" s="6">
        <v>329</v>
      </c>
      <c r="G127" s="6">
        <v>306054</v>
      </c>
      <c r="H127" s="6">
        <v>1828106676</v>
      </c>
      <c r="I127" s="6">
        <v>0</v>
      </c>
      <c r="J127" s="6">
        <v>1828106676</v>
      </c>
      <c r="K127" s="7">
        <v>0.97415571999999995</v>
      </c>
      <c r="L127" s="6">
        <f t="shared" si="1"/>
        <v>5973.1507381050405</v>
      </c>
    </row>
    <row r="128" spans="1:12" x14ac:dyDescent="0.25">
      <c r="A128" s="2" t="s">
        <v>65</v>
      </c>
      <c r="B128" s="2" t="s">
        <v>66</v>
      </c>
      <c r="C128" s="2" t="s">
        <v>182</v>
      </c>
      <c r="D128" s="3">
        <v>224834</v>
      </c>
      <c r="E128" s="3">
        <v>859</v>
      </c>
      <c r="F128" s="3">
        <v>571</v>
      </c>
      <c r="G128" s="3">
        <v>226264</v>
      </c>
      <c r="H128" s="3">
        <v>1815524541</v>
      </c>
      <c r="I128" s="3">
        <v>0</v>
      </c>
      <c r="J128" s="3">
        <v>1815524541</v>
      </c>
      <c r="K128" s="4">
        <v>0.96745099000000001</v>
      </c>
      <c r="L128" s="3">
        <f t="shared" si="1"/>
        <v>8023.9213529328572</v>
      </c>
    </row>
    <row r="129" spans="1:12" x14ac:dyDescent="0.25">
      <c r="A129" s="5" t="s">
        <v>65</v>
      </c>
      <c r="B129" s="5" t="s">
        <v>66</v>
      </c>
      <c r="C129" s="5" t="s">
        <v>182</v>
      </c>
      <c r="D129" s="6">
        <v>224834</v>
      </c>
      <c r="E129" s="6">
        <v>859</v>
      </c>
      <c r="F129" s="6">
        <v>571</v>
      </c>
      <c r="G129" s="6">
        <v>226264</v>
      </c>
      <c r="H129" s="6">
        <v>1872454628</v>
      </c>
      <c r="I129" s="6">
        <v>0</v>
      </c>
      <c r="J129" s="6">
        <v>1872454628</v>
      </c>
      <c r="K129" s="7">
        <v>0.99778999999999995</v>
      </c>
      <c r="L129" s="6">
        <f t="shared" si="1"/>
        <v>8275.5304776721005</v>
      </c>
    </row>
    <row r="130" spans="1:12" x14ac:dyDescent="0.25">
      <c r="A130" s="2" t="s">
        <v>65</v>
      </c>
      <c r="B130" s="2" t="s">
        <v>66</v>
      </c>
      <c r="C130" s="2" t="s">
        <v>232</v>
      </c>
      <c r="D130" s="3">
        <v>184104</v>
      </c>
      <c r="E130" s="3">
        <v>709</v>
      </c>
      <c r="F130" s="3">
        <v>450</v>
      </c>
      <c r="G130" s="3">
        <v>185263</v>
      </c>
      <c r="H130" s="3">
        <v>1872454628</v>
      </c>
      <c r="I130" s="3">
        <v>0</v>
      </c>
      <c r="J130" s="3">
        <v>1872454628</v>
      </c>
      <c r="K130" s="4">
        <v>0.99778999999999995</v>
      </c>
      <c r="L130" s="3">
        <f t="shared" ref="L130:L193" si="2">IFERROR(J130/G130,"")</f>
        <v>10107.008026427295</v>
      </c>
    </row>
    <row r="131" spans="1:12" x14ac:dyDescent="0.25">
      <c r="A131" s="5" t="s">
        <v>65</v>
      </c>
      <c r="B131" s="5" t="s">
        <v>66</v>
      </c>
      <c r="C131" s="5" t="s">
        <v>251</v>
      </c>
      <c r="D131" s="6">
        <v>158956</v>
      </c>
      <c r="E131" s="6">
        <v>721</v>
      </c>
      <c r="F131" s="6">
        <v>450</v>
      </c>
      <c r="G131" s="6">
        <v>160127</v>
      </c>
      <c r="H131" s="6">
        <v>1915914094</v>
      </c>
      <c r="I131" s="6">
        <v>0</v>
      </c>
      <c r="J131" s="6">
        <v>1915914094</v>
      </c>
      <c r="K131" s="7">
        <v>0.92813000000000001</v>
      </c>
      <c r="L131" s="6">
        <f t="shared" si="2"/>
        <v>11964.965895820193</v>
      </c>
    </row>
    <row r="132" spans="1:12" x14ac:dyDescent="0.25">
      <c r="A132" s="2" t="s">
        <v>65</v>
      </c>
      <c r="B132" s="2" t="s">
        <v>66</v>
      </c>
      <c r="C132" s="2" t="s">
        <v>23</v>
      </c>
      <c r="D132" s="3">
        <v>137285</v>
      </c>
      <c r="E132" s="3">
        <v>387</v>
      </c>
      <c r="F132" s="3">
        <v>846</v>
      </c>
      <c r="G132" s="3">
        <v>138518</v>
      </c>
      <c r="H132" s="3">
        <v>1918999490</v>
      </c>
      <c r="I132" s="3">
        <v>0</v>
      </c>
      <c r="J132" s="3">
        <v>1918999490</v>
      </c>
      <c r="K132" s="4">
        <v>0.92962999999999996</v>
      </c>
      <c r="L132" s="3">
        <f t="shared" si="2"/>
        <v>13853.79149280238</v>
      </c>
    </row>
    <row r="133" spans="1:12" x14ac:dyDescent="0.25">
      <c r="A133" s="5" t="s">
        <v>75</v>
      </c>
      <c r="B133" s="5" t="s">
        <v>76</v>
      </c>
      <c r="C133" s="5" t="s">
        <v>258</v>
      </c>
      <c r="D133" s="6">
        <v>15862</v>
      </c>
      <c r="E133" s="6">
        <v>4757</v>
      </c>
      <c r="F133" s="6">
        <v>365</v>
      </c>
      <c r="G133" s="6">
        <v>20984</v>
      </c>
      <c r="H133" s="6">
        <v>53392655</v>
      </c>
      <c r="I133" s="6">
        <v>0</v>
      </c>
      <c r="J133" s="6">
        <v>53392655</v>
      </c>
      <c r="K133" s="7">
        <v>5.2499999999999998E-2</v>
      </c>
      <c r="L133" s="6">
        <f t="shared" si="2"/>
        <v>2544.4460064811283</v>
      </c>
    </row>
    <row r="134" spans="1:12" x14ac:dyDescent="0.25">
      <c r="A134" s="2" t="s">
        <v>75</v>
      </c>
      <c r="B134" s="2" t="s">
        <v>261</v>
      </c>
      <c r="C134" s="2" t="s">
        <v>262</v>
      </c>
      <c r="D134" s="3">
        <v>153</v>
      </c>
      <c r="E134" s="3">
        <v>14</v>
      </c>
      <c r="F134" s="3">
        <v>13</v>
      </c>
      <c r="G134" s="3">
        <v>180</v>
      </c>
      <c r="H134" s="3">
        <v>290866</v>
      </c>
      <c r="I134" s="3">
        <v>0</v>
      </c>
      <c r="J134" s="3">
        <v>290866</v>
      </c>
      <c r="K134" s="4">
        <v>5.7733000000000003E-4</v>
      </c>
      <c r="L134" s="3">
        <f t="shared" si="2"/>
        <v>1615.9222222222222</v>
      </c>
    </row>
    <row r="135" spans="1:12" x14ac:dyDescent="0.25">
      <c r="A135" s="5" t="s">
        <v>75</v>
      </c>
      <c r="B135" s="5" t="s">
        <v>76</v>
      </c>
      <c r="C135" s="5" t="s">
        <v>263</v>
      </c>
      <c r="D135" s="6">
        <v>14730</v>
      </c>
      <c r="E135" s="6">
        <v>4741</v>
      </c>
      <c r="F135" s="6">
        <v>266</v>
      </c>
      <c r="G135" s="6">
        <v>19737</v>
      </c>
      <c r="H135" s="6">
        <v>170209781</v>
      </c>
      <c r="I135" s="6">
        <v>0</v>
      </c>
      <c r="J135" s="6">
        <v>170209781</v>
      </c>
      <c r="K135" s="7">
        <v>0.15</v>
      </c>
      <c r="L135" s="6">
        <f t="shared" si="2"/>
        <v>8623.8932461873646</v>
      </c>
    </row>
    <row r="136" spans="1:12" x14ac:dyDescent="0.25">
      <c r="A136" s="2" t="s">
        <v>75</v>
      </c>
      <c r="B136" s="2" t="s">
        <v>261</v>
      </c>
      <c r="C136" s="2" t="s">
        <v>264</v>
      </c>
      <c r="D136" s="3">
        <v>273</v>
      </c>
      <c r="E136" s="3">
        <v>3</v>
      </c>
      <c r="F136" s="3">
        <v>9</v>
      </c>
      <c r="G136" s="3">
        <v>285</v>
      </c>
      <c r="H136" s="3">
        <v>291550</v>
      </c>
      <c r="I136" s="3">
        <v>0</v>
      </c>
      <c r="J136" s="3">
        <v>291550</v>
      </c>
      <c r="K136" s="4">
        <v>5.5926000000000001E-4</v>
      </c>
      <c r="L136" s="3">
        <f t="shared" si="2"/>
        <v>1022.9824561403509</v>
      </c>
    </row>
    <row r="137" spans="1:12" x14ac:dyDescent="0.25">
      <c r="A137" s="5" t="s">
        <v>75</v>
      </c>
      <c r="B137" s="5" t="s">
        <v>76</v>
      </c>
      <c r="C137" s="5" t="s">
        <v>265</v>
      </c>
      <c r="D137" s="6">
        <v>20455</v>
      </c>
      <c r="E137" s="6">
        <v>4806</v>
      </c>
      <c r="F137" s="6">
        <v>837</v>
      </c>
      <c r="G137" s="6">
        <v>26098</v>
      </c>
      <c r="H137" s="6">
        <v>187714249</v>
      </c>
      <c r="I137" s="6">
        <v>0</v>
      </c>
      <c r="J137" s="6">
        <v>187714249</v>
      </c>
      <c r="K137" s="7">
        <v>0.16291</v>
      </c>
      <c r="L137" s="6">
        <f t="shared" si="2"/>
        <v>7192.6679822208598</v>
      </c>
    </row>
    <row r="138" spans="1:12" x14ac:dyDescent="0.25">
      <c r="A138" s="2" t="s">
        <v>75</v>
      </c>
      <c r="B138" s="2" t="s">
        <v>261</v>
      </c>
      <c r="C138" s="2" t="s">
        <v>266</v>
      </c>
      <c r="D138" s="3">
        <v>339</v>
      </c>
      <c r="E138" s="3">
        <v>3</v>
      </c>
      <c r="F138" s="3">
        <v>2</v>
      </c>
      <c r="G138" s="3">
        <v>344</v>
      </c>
      <c r="H138" s="3">
        <v>0</v>
      </c>
      <c r="I138" s="3">
        <v>0</v>
      </c>
      <c r="J138" s="3">
        <v>0</v>
      </c>
      <c r="K138" s="4">
        <v>0</v>
      </c>
      <c r="L138" s="3">
        <f t="shared" si="2"/>
        <v>0</v>
      </c>
    </row>
    <row r="139" spans="1:12" x14ac:dyDescent="0.25">
      <c r="A139" s="5" t="s">
        <v>75</v>
      </c>
      <c r="B139" s="5" t="s">
        <v>261</v>
      </c>
      <c r="C139" s="5" t="s">
        <v>230</v>
      </c>
      <c r="D139" s="6">
        <v>0</v>
      </c>
      <c r="E139" s="6">
        <v>2</v>
      </c>
      <c r="F139" s="6">
        <v>0</v>
      </c>
      <c r="G139" s="6">
        <v>2</v>
      </c>
      <c r="H139" s="6">
        <v>0</v>
      </c>
      <c r="I139" s="6">
        <v>0</v>
      </c>
      <c r="J139" s="6">
        <v>0</v>
      </c>
      <c r="K139" s="7">
        <v>0</v>
      </c>
      <c r="L139" s="6">
        <f t="shared" si="2"/>
        <v>0</v>
      </c>
    </row>
    <row r="140" spans="1:12" x14ac:dyDescent="0.25">
      <c r="A140" s="2" t="s">
        <v>75</v>
      </c>
      <c r="B140" s="2" t="s">
        <v>76</v>
      </c>
      <c r="C140" s="2" t="s">
        <v>260</v>
      </c>
      <c r="D140" s="3">
        <v>26667</v>
      </c>
      <c r="E140" s="3">
        <v>4825</v>
      </c>
      <c r="F140" s="3">
        <v>1100</v>
      </c>
      <c r="G140" s="3">
        <v>32592</v>
      </c>
      <c r="H140" s="3">
        <v>187732538</v>
      </c>
      <c r="I140" s="3">
        <v>0</v>
      </c>
      <c r="J140" s="3">
        <v>187732538</v>
      </c>
      <c r="K140" s="4">
        <v>0.16289999999999999</v>
      </c>
      <c r="L140" s="3">
        <f t="shared" si="2"/>
        <v>5760.080326460481</v>
      </c>
    </row>
    <row r="141" spans="1:12" x14ac:dyDescent="0.25">
      <c r="A141" s="5" t="s">
        <v>75</v>
      </c>
      <c r="B141" s="5" t="s">
        <v>261</v>
      </c>
      <c r="C141" s="5" t="s">
        <v>188</v>
      </c>
      <c r="D141" s="6">
        <v>0</v>
      </c>
      <c r="E141" s="6">
        <v>2</v>
      </c>
      <c r="F141" s="6">
        <v>0</v>
      </c>
      <c r="G141" s="6">
        <v>2</v>
      </c>
      <c r="H141" s="6">
        <v>0</v>
      </c>
      <c r="I141" s="6">
        <v>0</v>
      </c>
      <c r="J141" s="6">
        <v>0</v>
      </c>
      <c r="K141" s="7">
        <v>0</v>
      </c>
      <c r="L141" s="6">
        <f t="shared" si="2"/>
        <v>0</v>
      </c>
    </row>
    <row r="142" spans="1:12" x14ac:dyDescent="0.25">
      <c r="A142" s="2" t="s">
        <v>75</v>
      </c>
      <c r="B142" s="2" t="s">
        <v>76</v>
      </c>
      <c r="C142" s="2" t="s">
        <v>226</v>
      </c>
      <c r="D142" s="3">
        <v>43050</v>
      </c>
      <c r="E142" s="3">
        <v>4916</v>
      </c>
      <c r="F142" s="3">
        <v>906</v>
      </c>
      <c r="G142" s="3">
        <v>48872</v>
      </c>
      <c r="H142" s="3">
        <v>187732538</v>
      </c>
      <c r="I142" s="3">
        <v>0</v>
      </c>
      <c r="J142" s="3">
        <v>187732538</v>
      </c>
      <c r="K142" s="4">
        <v>0.16289999999999999</v>
      </c>
      <c r="L142" s="3">
        <f t="shared" si="2"/>
        <v>3841.3107300703878</v>
      </c>
    </row>
    <row r="143" spans="1:12" x14ac:dyDescent="0.25">
      <c r="A143" s="5" t="s">
        <v>75</v>
      </c>
      <c r="B143" s="5" t="s">
        <v>76</v>
      </c>
      <c r="C143" s="5" t="s">
        <v>182</v>
      </c>
      <c r="D143" s="6">
        <v>60109</v>
      </c>
      <c r="E143" s="6">
        <v>4762</v>
      </c>
      <c r="F143" s="6">
        <v>1166</v>
      </c>
      <c r="G143" s="6">
        <v>66037</v>
      </c>
      <c r="H143" s="6">
        <v>187732538</v>
      </c>
      <c r="I143" s="6">
        <v>0</v>
      </c>
      <c r="J143" s="6">
        <v>187732538</v>
      </c>
      <c r="K143" s="7">
        <v>0.16292999999999999</v>
      </c>
      <c r="L143" s="6">
        <f t="shared" si="2"/>
        <v>2842.8386813453062</v>
      </c>
    </row>
    <row r="144" spans="1:12" x14ac:dyDescent="0.25">
      <c r="A144" s="2" t="s">
        <v>75</v>
      </c>
      <c r="B144" s="2" t="s">
        <v>261</v>
      </c>
      <c r="C144" s="2" t="s">
        <v>267</v>
      </c>
      <c r="D144" s="3">
        <v>0</v>
      </c>
      <c r="E144" s="3">
        <v>2</v>
      </c>
      <c r="F144" s="3">
        <v>0</v>
      </c>
      <c r="G144" s="3">
        <v>2</v>
      </c>
      <c r="H144" s="3">
        <v>0</v>
      </c>
      <c r="I144" s="3">
        <v>0</v>
      </c>
      <c r="J144" s="3">
        <v>0</v>
      </c>
      <c r="K144" s="4">
        <v>0</v>
      </c>
      <c r="L144" s="3">
        <f t="shared" si="2"/>
        <v>0</v>
      </c>
    </row>
    <row r="145" spans="1:12" x14ac:dyDescent="0.25">
      <c r="A145" s="5" t="s">
        <v>75</v>
      </c>
      <c r="B145" s="5" t="s">
        <v>76</v>
      </c>
      <c r="C145" s="5" t="s">
        <v>213</v>
      </c>
      <c r="D145" s="6">
        <v>118271</v>
      </c>
      <c r="E145" s="6">
        <v>5294</v>
      </c>
      <c r="F145" s="6">
        <v>1257</v>
      </c>
      <c r="G145" s="6">
        <v>124822</v>
      </c>
      <c r="H145" s="6">
        <v>187732538</v>
      </c>
      <c r="I145" s="6">
        <v>0</v>
      </c>
      <c r="J145" s="6">
        <v>187732538</v>
      </c>
      <c r="K145" s="7">
        <v>0.16292999999999999</v>
      </c>
      <c r="L145" s="6">
        <f t="shared" si="2"/>
        <v>1504.0020028520614</v>
      </c>
    </row>
    <row r="146" spans="1:12" x14ac:dyDescent="0.25">
      <c r="A146" s="2" t="s">
        <v>75</v>
      </c>
      <c r="B146" s="2" t="s">
        <v>261</v>
      </c>
      <c r="C146" s="2" t="s">
        <v>213</v>
      </c>
      <c r="D146" s="3">
        <v>0</v>
      </c>
      <c r="E146" s="3">
        <v>2</v>
      </c>
      <c r="F146" s="3">
        <v>0</v>
      </c>
      <c r="G146" s="3">
        <v>2</v>
      </c>
      <c r="H146" s="3">
        <v>0</v>
      </c>
      <c r="I146" s="3">
        <v>0</v>
      </c>
      <c r="J146" s="3">
        <v>0</v>
      </c>
      <c r="K146" s="4">
        <v>0</v>
      </c>
      <c r="L146" s="3">
        <f t="shared" si="2"/>
        <v>0</v>
      </c>
    </row>
    <row r="147" spans="1:12" x14ac:dyDescent="0.25">
      <c r="A147" s="5" t="s">
        <v>75</v>
      </c>
      <c r="B147" s="5" t="s">
        <v>261</v>
      </c>
      <c r="C147" s="5" t="s">
        <v>213</v>
      </c>
      <c r="D147" s="6">
        <v>0</v>
      </c>
      <c r="E147" s="6">
        <v>2</v>
      </c>
      <c r="F147" s="6">
        <v>0</v>
      </c>
      <c r="G147" s="6">
        <v>2</v>
      </c>
      <c r="H147" s="6">
        <v>0</v>
      </c>
      <c r="I147" s="6">
        <v>0</v>
      </c>
      <c r="J147" s="6">
        <v>0</v>
      </c>
      <c r="K147" s="7">
        <v>0</v>
      </c>
      <c r="L147" s="6">
        <f t="shared" si="2"/>
        <v>0</v>
      </c>
    </row>
    <row r="148" spans="1:12" x14ac:dyDescent="0.25">
      <c r="A148" s="2" t="s">
        <v>75</v>
      </c>
      <c r="B148" s="2" t="s">
        <v>76</v>
      </c>
      <c r="C148" s="2" t="s">
        <v>184</v>
      </c>
      <c r="D148" s="3">
        <v>105108</v>
      </c>
      <c r="E148" s="3">
        <v>5005</v>
      </c>
      <c r="F148" s="3">
        <v>1202</v>
      </c>
      <c r="G148" s="3">
        <v>111315</v>
      </c>
      <c r="H148" s="3">
        <v>187732538</v>
      </c>
      <c r="I148" s="3">
        <v>0</v>
      </c>
      <c r="J148" s="3">
        <v>187732538</v>
      </c>
      <c r="K148" s="4">
        <v>0.16292999999999999</v>
      </c>
      <c r="L148" s="3">
        <f t="shared" si="2"/>
        <v>1686.4981179535553</v>
      </c>
    </row>
    <row r="149" spans="1:12" x14ac:dyDescent="0.25">
      <c r="A149" s="5" t="s">
        <v>75</v>
      </c>
      <c r="B149" s="5" t="s">
        <v>76</v>
      </c>
      <c r="C149" s="5" t="s">
        <v>14</v>
      </c>
      <c r="D149" s="6">
        <v>100554</v>
      </c>
      <c r="E149" s="6">
        <v>5050</v>
      </c>
      <c r="F149" s="6">
        <v>1192</v>
      </c>
      <c r="G149" s="6">
        <v>106796</v>
      </c>
      <c r="H149" s="6">
        <v>187732538</v>
      </c>
      <c r="I149" s="6">
        <v>0</v>
      </c>
      <c r="J149" s="6">
        <v>187732538</v>
      </c>
      <c r="K149" s="7">
        <v>0.16292999999999999</v>
      </c>
      <c r="L149" s="6">
        <f t="shared" si="2"/>
        <v>1757.8611371212405</v>
      </c>
    </row>
    <row r="150" spans="1:12" x14ac:dyDescent="0.25">
      <c r="A150" s="2" t="s">
        <v>75</v>
      </c>
      <c r="B150" s="2" t="s">
        <v>261</v>
      </c>
      <c r="C150" s="2" t="s">
        <v>268</v>
      </c>
      <c r="D150" s="3">
        <v>0</v>
      </c>
      <c r="E150" s="3">
        <v>2</v>
      </c>
      <c r="F150" s="3">
        <v>0</v>
      </c>
      <c r="G150" s="3">
        <v>2</v>
      </c>
      <c r="H150" s="3">
        <v>0</v>
      </c>
      <c r="I150" s="3">
        <v>0</v>
      </c>
      <c r="J150" s="3">
        <v>0</v>
      </c>
      <c r="K150" s="4">
        <v>0</v>
      </c>
      <c r="L150" s="3">
        <f t="shared" si="2"/>
        <v>0</v>
      </c>
    </row>
    <row r="151" spans="1:12" x14ac:dyDescent="0.25">
      <c r="A151" s="5" t="s">
        <v>60</v>
      </c>
      <c r="B151" s="5" t="s">
        <v>269</v>
      </c>
      <c r="C151" s="5" t="s">
        <v>227</v>
      </c>
      <c r="D151" s="6">
        <v>1998</v>
      </c>
      <c r="E151" s="6">
        <v>25</v>
      </c>
      <c r="F151" s="6">
        <v>1</v>
      </c>
      <c r="G151" s="6">
        <v>2024</v>
      </c>
      <c r="H151" s="6">
        <v>108933528</v>
      </c>
      <c r="I151" s="6">
        <v>0</v>
      </c>
      <c r="J151" s="6">
        <v>108933528</v>
      </c>
      <c r="K151" s="7">
        <v>0.40243297</v>
      </c>
      <c r="L151" s="6">
        <f t="shared" si="2"/>
        <v>53820.913043478264</v>
      </c>
    </row>
    <row r="152" spans="1:12" x14ac:dyDescent="0.25">
      <c r="A152" s="2" t="s">
        <v>60</v>
      </c>
      <c r="B152" s="2" t="s">
        <v>270</v>
      </c>
      <c r="C152" s="2" t="s">
        <v>227</v>
      </c>
      <c r="D152" s="3">
        <v>3460</v>
      </c>
      <c r="E152" s="3">
        <v>52</v>
      </c>
      <c r="F152" s="3">
        <v>229</v>
      </c>
      <c r="G152" s="3">
        <v>3741</v>
      </c>
      <c r="H152" s="3">
        <v>86174110</v>
      </c>
      <c r="I152" s="3">
        <v>0</v>
      </c>
      <c r="J152" s="3">
        <v>86174110</v>
      </c>
      <c r="K152" s="4">
        <v>0.27435642999999998</v>
      </c>
      <c r="L152" s="3">
        <f t="shared" si="2"/>
        <v>23035.046778936114</v>
      </c>
    </row>
    <row r="153" spans="1:12" x14ac:dyDescent="0.25">
      <c r="A153" s="5" t="s">
        <v>60</v>
      </c>
      <c r="B153" s="5" t="s">
        <v>61</v>
      </c>
      <c r="C153" s="5" t="s">
        <v>227</v>
      </c>
      <c r="D153" s="6">
        <v>6632</v>
      </c>
      <c r="E153" s="6">
        <v>1142</v>
      </c>
      <c r="F153" s="6">
        <v>16</v>
      </c>
      <c r="G153" s="6">
        <v>7790</v>
      </c>
      <c r="H153" s="6">
        <v>155785693</v>
      </c>
      <c r="I153" s="6">
        <v>0</v>
      </c>
      <c r="J153" s="6">
        <v>155785693</v>
      </c>
      <c r="K153" s="7">
        <v>0.38191721000000001</v>
      </c>
      <c r="L153" s="6">
        <f t="shared" si="2"/>
        <v>19998.163414634146</v>
      </c>
    </row>
    <row r="154" spans="1:12" x14ac:dyDescent="0.25">
      <c r="A154" s="2" t="s">
        <v>60</v>
      </c>
      <c r="B154" s="2" t="s">
        <v>270</v>
      </c>
      <c r="C154" s="2" t="s">
        <v>196</v>
      </c>
      <c r="D154" s="3">
        <v>11947</v>
      </c>
      <c r="E154" s="3">
        <v>236</v>
      </c>
      <c r="F154" s="3">
        <v>2</v>
      </c>
      <c r="G154" s="3">
        <v>12185</v>
      </c>
      <c r="H154" s="3">
        <v>125570897</v>
      </c>
      <c r="I154" s="3">
        <v>0</v>
      </c>
      <c r="J154" s="3">
        <v>125570897</v>
      </c>
      <c r="K154" s="4">
        <v>0.27108015000000002</v>
      </c>
      <c r="L154" s="3">
        <f t="shared" si="2"/>
        <v>10305.367008617151</v>
      </c>
    </row>
    <row r="155" spans="1:12" x14ac:dyDescent="0.25">
      <c r="A155" s="5" t="s">
        <v>60</v>
      </c>
      <c r="B155" s="5" t="s">
        <v>61</v>
      </c>
      <c r="C155" s="5" t="s">
        <v>196</v>
      </c>
      <c r="D155" s="6">
        <v>8554</v>
      </c>
      <c r="E155" s="6">
        <v>1136</v>
      </c>
      <c r="F155" s="6">
        <v>15</v>
      </c>
      <c r="G155" s="6">
        <v>9705</v>
      </c>
      <c r="H155" s="6">
        <v>153417832</v>
      </c>
      <c r="I155" s="6">
        <v>0</v>
      </c>
      <c r="J155" s="6">
        <v>153417832</v>
      </c>
      <c r="K155" s="7">
        <v>0.3896</v>
      </c>
      <c r="L155" s="6">
        <f t="shared" si="2"/>
        <v>15808.122823286965</v>
      </c>
    </row>
    <row r="156" spans="1:12" x14ac:dyDescent="0.25">
      <c r="A156" s="2" t="s">
        <v>60</v>
      </c>
      <c r="B156" s="2" t="s">
        <v>270</v>
      </c>
      <c r="C156" s="2" t="s">
        <v>271</v>
      </c>
      <c r="D156" s="3">
        <v>11947</v>
      </c>
      <c r="E156" s="3">
        <v>236</v>
      </c>
      <c r="F156" s="3">
        <v>2</v>
      </c>
      <c r="G156" s="3">
        <v>12185</v>
      </c>
      <c r="H156" s="3">
        <v>122209783</v>
      </c>
      <c r="I156" s="3">
        <v>0</v>
      </c>
      <c r="J156" s="3">
        <v>122209783</v>
      </c>
      <c r="K156" s="4">
        <v>0.26382423999999999</v>
      </c>
      <c r="L156" s="3">
        <f t="shared" si="2"/>
        <v>10029.526713171932</v>
      </c>
    </row>
    <row r="157" spans="1:12" x14ac:dyDescent="0.25">
      <c r="A157" s="5" t="s">
        <v>60</v>
      </c>
      <c r="B157" s="5" t="s">
        <v>61</v>
      </c>
      <c r="C157" s="5" t="s">
        <v>260</v>
      </c>
      <c r="D157" s="6">
        <v>77611</v>
      </c>
      <c r="E157" s="6">
        <v>1915</v>
      </c>
      <c r="F157" s="6">
        <v>1517</v>
      </c>
      <c r="G157" s="6">
        <v>81043</v>
      </c>
      <c r="H157" s="6">
        <v>1169237744</v>
      </c>
      <c r="I157" s="6">
        <v>0</v>
      </c>
      <c r="J157" s="6">
        <v>1169237744</v>
      </c>
      <c r="K157" s="7">
        <v>0.62390261000000002</v>
      </c>
      <c r="L157" s="6">
        <f t="shared" si="2"/>
        <v>14427.37489974458</v>
      </c>
    </row>
    <row r="158" spans="1:12" x14ac:dyDescent="0.25">
      <c r="A158" s="2" t="s">
        <v>60</v>
      </c>
      <c r="B158" s="2" t="s">
        <v>61</v>
      </c>
      <c r="C158" s="2" t="s">
        <v>260</v>
      </c>
      <c r="D158" s="3">
        <v>77611</v>
      </c>
      <c r="E158" s="3">
        <v>1915</v>
      </c>
      <c r="F158" s="3">
        <v>1517</v>
      </c>
      <c r="G158" s="3">
        <v>81043</v>
      </c>
      <c r="H158" s="3">
        <v>1171063698</v>
      </c>
      <c r="I158" s="3">
        <v>0</v>
      </c>
      <c r="J158" s="3">
        <v>1171063698</v>
      </c>
      <c r="K158" s="4">
        <v>0.62487693</v>
      </c>
      <c r="L158" s="3">
        <f t="shared" si="2"/>
        <v>14449.90558098787</v>
      </c>
    </row>
    <row r="159" spans="1:12" x14ac:dyDescent="0.25">
      <c r="A159" s="5" t="s">
        <v>60</v>
      </c>
      <c r="B159" s="5" t="s">
        <v>61</v>
      </c>
      <c r="C159" s="5" t="s">
        <v>226</v>
      </c>
      <c r="D159" s="6">
        <v>86507</v>
      </c>
      <c r="E159" s="6">
        <v>680</v>
      </c>
      <c r="F159" s="6">
        <v>1410</v>
      </c>
      <c r="G159" s="6">
        <v>88597</v>
      </c>
      <c r="H159" s="6">
        <v>1171063698</v>
      </c>
      <c r="I159" s="6">
        <v>0</v>
      </c>
      <c r="J159" s="6">
        <v>1171063698</v>
      </c>
      <c r="K159" s="7">
        <v>0.62487693</v>
      </c>
      <c r="L159" s="6">
        <f t="shared" si="2"/>
        <v>13217.870785692518</v>
      </c>
    </row>
    <row r="160" spans="1:12" x14ac:dyDescent="0.25">
      <c r="A160" s="2" t="s">
        <v>60</v>
      </c>
      <c r="B160" s="2" t="s">
        <v>61</v>
      </c>
      <c r="C160" s="2" t="s">
        <v>176</v>
      </c>
      <c r="D160" s="3">
        <v>124208</v>
      </c>
      <c r="E160" s="3">
        <v>852</v>
      </c>
      <c r="F160" s="3">
        <v>1097</v>
      </c>
      <c r="G160" s="3">
        <v>126157</v>
      </c>
      <c r="H160" s="3">
        <v>1168966848</v>
      </c>
      <c r="I160" s="3">
        <v>0</v>
      </c>
      <c r="J160" s="3">
        <v>1168966848</v>
      </c>
      <c r="K160" s="4">
        <v>0.62375999999999998</v>
      </c>
      <c r="L160" s="3">
        <f t="shared" si="2"/>
        <v>9265.9689751658643</v>
      </c>
    </row>
    <row r="161" spans="1:12" x14ac:dyDescent="0.25">
      <c r="A161" s="5" t="s">
        <v>60</v>
      </c>
      <c r="B161" s="5" t="s">
        <v>61</v>
      </c>
      <c r="C161" s="5" t="s">
        <v>272</v>
      </c>
      <c r="D161" s="6">
        <v>155346</v>
      </c>
      <c r="E161" s="6">
        <v>1160</v>
      </c>
      <c r="F161" s="6">
        <v>835</v>
      </c>
      <c r="G161" s="6">
        <v>157341</v>
      </c>
      <c r="H161" s="6">
        <v>1160227510</v>
      </c>
      <c r="I161" s="6">
        <v>0</v>
      </c>
      <c r="J161" s="6">
        <v>1160227510</v>
      </c>
      <c r="K161" s="7">
        <v>0.62158000000000002</v>
      </c>
      <c r="L161" s="6">
        <f t="shared" si="2"/>
        <v>7373.9680693525524</v>
      </c>
    </row>
    <row r="162" spans="1:12" x14ac:dyDescent="0.25">
      <c r="A162" s="2" t="s">
        <v>60</v>
      </c>
      <c r="B162" s="2" t="s">
        <v>61</v>
      </c>
      <c r="C162" s="2" t="s">
        <v>273</v>
      </c>
      <c r="D162" s="3">
        <v>146188</v>
      </c>
      <c r="E162" s="3">
        <v>962</v>
      </c>
      <c r="F162" s="3">
        <v>544</v>
      </c>
      <c r="G162" s="3">
        <v>147694</v>
      </c>
      <c r="H162" s="3">
        <v>2242671999</v>
      </c>
      <c r="I162" s="3">
        <v>0</v>
      </c>
      <c r="J162" s="3">
        <v>2242671999</v>
      </c>
      <c r="K162" s="4">
        <v>0.56539000000000006</v>
      </c>
      <c r="L162" s="3">
        <f t="shared" si="2"/>
        <v>15184.584336533644</v>
      </c>
    </row>
    <row r="163" spans="1:12" x14ac:dyDescent="0.25">
      <c r="A163" s="5" t="s">
        <v>60</v>
      </c>
      <c r="B163" s="5" t="s">
        <v>61</v>
      </c>
      <c r="C163" s="5" t="s">
        <v>20</v>
      </c>
      <c r="D163" s="6">
        <v>143726</v>
      </c>
      <c r="E163" s="6">
        <v>750</v>
      </c>
      <c r="F163" s="6">
        <v>623</v>
      </c>
      <c r="G163" s="6">
        <v>145099</v>
      </c>
      <c r="H163" s="6">
        <v>2278224258</v>
      </c>
      <c r="I163" s="6">
        <v>0</v>
      </c>
      <c r="J163" s="6">
        <v>2278224258</v>
      </c>
      <c r="K163" s="7">
        <v>0.57435999999999998</v>
      </c>
      <c r="L163" s="6">
        <f t="shared" si="2"/>
        <v>15701.171324406096</v>
      </c>
    </row>
    <row r="164" spans="1:12" x14ac:dyDescent="0.25">
      <c r="A164" s="2" t="s">
        <v>95</v>
      </c>
      <c r="B164" s="2" t="s">
        <v>96</v>
      </c>
      <c r="C164" s="2" t="s">
        <v>274</v>
      </c>
      <c r="D164" s="3">
        <v>26610</v>
      </c>
      <c r="E164" s="3">
        <v>302</v>
      </c>
      <c r="F164" s="3">
        <v>648</v>
      </c>
      <c r="G164" s="3">
        <v>27560</v>
      </c>
      <c r="H164" s="3">
        <v>630161054</v>
      </c>
      <c r="I164" s="3">
        <v>0</v>
      </c>
      <c r="J164" s="3">
        <v>630161054</v>
      </c>
      <c r="K164" s="4">
        <v>0.45419999999999999</v>
      </c>
      <c r="L164" s="3">
        <f t="shared" si="2"/>
        <v>22865.060014513787</v>
      </c>
    </row>
    <row r="165" spans="1:12" x14ac:dyDescent="0.25">
      <c r="A165" s="5" t="s">
        <v>95</v>
      </c>
      <c r="B165" s="5" t="s">
        <v>96</v>
      </c>
      <c r="C165" s="5" t="s">
        <v>196</v>
      </c>
      <c r="D165" s="6">
        <v>31529</v>
      </c>
      <c r="E165" s="6">
        <v>701</v>
      </c>
      <c r="F165" s="6">
        <v>701</v>
      </c>
      <c r="G165" s="6">
        <v>32931</v>
      </c>
      <c r="H165" s="6">
        <v>642387288</v>
      </c>
      <c r="I165" s="6">
        <v>0</v>
      </c>
      <c r="J165" s="6">
        <v>642387288</v>
      </c>
      <c r="K165" s="7">
        <v>0.46296999999999999</v>
      </c>
      <c r="L165" s="6">
        <f t="shared" si="2"/>
        <v>19507.068962375877</v>
      </c>
    </row>
    <row r="166" spans="1:12" x14ac:dyDescent="0.25">
      <c r="A166" s="2" t="s">
        <v>95</v>
      </c>
      <c r="B166" s="2" t="s">
        <v>96</v>
      </c>
      <c r="C166" s="2" t="s">
        <v>187</v>
      </c>
      <c r="D166" s="3">
        <v>76281</v>
      </c>
      <c r="E166" s="3">
        <v>1437</v>
      </c>
      <c r="F166" s="3">
        <v>1437</v>
      </c>
      <c r="G166" s="3">
        <v>79155</v>
      </c>
      <c r="H166" s="3">
        <v>642398790</v>
      </c>
      <c r="I166" s="3">
        <v>0</v>
      </c>
      <c r="J166" s="3">
        <v>642398790</v>
      </c>
      <c r="K166" s="4">
        <v>0.46298</v>
      </c>
      <c r="L166" s="3">
        <f t="shared" si="2"/>
        <v>8115.7070305097595</v>
      </c>
    </row>
    <row r="167" spans="1:12" x14ac:dyDescent="0.25">
      <c r="A167" s="5" t="s">
        <v>95</v>
      </c>
      <c r="B167" s="5" t="s">
        <v>96</v>
      </c>
      <c r="C167" s="5" t="s">
        <v>260</v>
      </c>
      <c r="D167" s="6">
        <v>73158</v>
      </c>
      <c r="E167" s="6">
        <v>1782</v>
      </c>
      <c r="F167" s="6">
        <v>1782</v>
      </c>
      <c r="G167" s="6">
        <v>76722</v>
      </c>
      <c r="H167" s="6">
        <v>642398790</v>
      </c>
      <c r="I167" s="6">
        <v>0</v>
      </c>
      <c r="J167" s="6">
        <v>642398790</v>
      </c>
      <c r="K167" s="7">
        <v>4.6298000000000013E-2</v>
      </c>
      <c r="L167" s="6">
        <f t="shared" si="2"/>
        <v>8373.0714788457026</v>
      </c>
    </row>
    <row r="168" spans="1:12" x14ac:dyDescent="0.25">
      <c r="A168" s="2" t="s">
        <v>95</v>
      </c>
      <c r="B168" s="2" t="s">
        <v>96</v>
      </c>
      <c r="C168" s="2" t="s">
        <v>226</v>
      </c>
      <c r="D168" s="3">
        <v>89904</v>
      </c>
      <c r="E168" s="3">
        <v>1983</v>
      </c>
      <c r="F168" s="3">
        <v>1922</v>
      </c>
      <c r="G168" s="3">
        <v>93809</v>
      </c>
      <c r="H168" s="3">
        <v>589695175</v>
      </c>
      <c r="I168" s="3">
        <v>0</v>
      </c>
      <c r="J168" s="3">
        <v>589695175</v>
      </c>
      <c r="K168" s="4">
        <v>0.44438</v>
      </c>
      <c r="L168" s="3">
        <f t="shared" si="2"/>
        <v>6286.1257981643548</v>
      </c>
    </row>
    <row r="169" spans="1:12" x14ac:dyDescent="0.25">
      <c r="A169" s="5" t="s">
        <v>95</v>
      </c>
      <c r="B169" s="5" t="s">
        <v>96</v>
      </c>
      <c r="C169" s="5" t="s">
        <v>182</v>
      </c>
      <c r="D169" s="6">
        <v>94973</v>
      </c>
      <c r="E169" s="6">
        <v>1642</v>
      </c>
      <c r="F169" s="6">
        <v>1616</v>
      </c>
      <c r="G169" s="6">
        <v>98231</v>
      </c>
      <c r="H169" s="6">
        <v>600865451</v>
      </c>
      <c r="I169" s="6">
        <v>0</v>
      </c>
      <c r="J169" s="6">
        <v>600865451</v>
      </c>
      <c r="K169" s="7">
        <v>0.45311000000000001</v>
      </c>
      <c r="L169" s="6">
        <f t="shared" si="2"/>
        <v>6116.8617951563156</v>
      </c>
    </row>
    <row r="170" spans="1:12" x14ac:dyDescent="0.25">
      <c r="A170" s="2" t="s">
        <v>95</v>
      </c>
      <c r="B170" s="2" t="s">
        <v>96</v>
      </c>
      <c r="C170" s="2" t="s">
        <v>213</v>
      </c>
      <c r="D170" s="3">
        <v>89104</v>
      </c>
      <c r="E170" s="3">
        <v>1983</v>
      </c>
      <c r="F170" s="3">
        <v>1922</v>
      </c>
      <c r="G170" s="3">
        <v>93009</v>
      </c>
      <c r="H170" s="3">
        <v>727459637</v>
      </c>
      <c r="I170" s="3">
        <v>0</v>
      </c>
      <c r="J170" s="3">
        <v>727459637</v>
      </c>
      <c r="K170" s="4">
        <v>0.54857</v>
      </c>
      <c r="L170" s="3">
        <f t="shared" si="2"/>
        <v>7821.3897257254675</v>
      </c>
    </row>
    <row r="171" spans="1:12" x14ac:dyDescent="0.25">
      <c r="A171" s="5" t="s">
        <v>95</v>
      </c>
      <c r="B171" s="5" t="s">
        <v>96</v>
      </c>
      <c r="C171" s="5" t="s">
        <v>275</v>
      </c>
      <c r="D171" s="6">
        <v>99046</v>
      </c>
      <c r="E171" s="6">
        <v>911</v>
      </c>
      <c r="F171" s="6">
        <v>1165</v>
      </c>
      <c r="G171" s="6">
        <v>101122</v>
      </c>
      <c r="H171" s="6">
        <v>727975012</v>
      </c>
      <c r="I171" s="6">
        <v>0</v>
      </c>
      <c r="J171" s="6">
        <v>727975012</v>
      </c>
      <c r="K171" s="7">
        <v>0.54896</v>
      </c>
      <c r="L171" s="6">
        <f t="shared" si="2"/>
        <v>7198.97759142422</v>
      </c>
    </row>
    <row r="172" spans="1:12" x14ac:dyDescent="0.25">
      <c r="A172" s="2" t="s">
        <v>95</v>
      </c>
      <c r="B172" s="2" t="s">
        <v>96</v>
      </c>
      <c r="C172" s="2" t="s">
        <v>48</v>
      </c>
      <c r="D172" s="3">
        <v>82177</v>
      </c>
      <c r="E172" s="3">
        <v>922</v>
      </c>
      <c r="F172" s="3">
        <v>964</v>
      </c>
      <c r="G172" s="3">
        <v>84063</v>
      </c>
      <c r="H172" s="3">
        <v>727421210</v>
      </c>
      <c r="I172" s="3">
        <v>0</v>
      </c>
      <c r="J172" s="3">
        <v>727421210</v>
      </c>
      <c r="K172" s="4">
        <v>0.54854000000000003</v>
      </c>
      <c r="L172" s="3">
        <f t="shared" si="2"/>
        <v>8653.2863447652362</v>
      </c>
    </row>
    <row r="173" spans="1:12" x14ac:dyDescent="0.25">
      <c r="A173" s="5" t="s">
        <v>77</v>
      </c>
      <c r="B173" s="5" t="s">
        <v>78</v>
      </c>
      <c r="C173" s="5" t="s">
        <v>263</v>
      </c>
      <c r="D173" s="6">
        <v>17390</v>
      </c>
      <c r="E173" s="6">
        <v>855</v>
      </c>
      <c r="F173" s="6">
        <v>223</v>
      </c>
      <c r="G173" s="6">
        <v>18468</v>
      </c>
      <c r="H173" s="6">
        <v>147035760</v>
      </c>
      <c r="I173" s="6">
        <v>0</v>
      </c>
      <c r="J173" s="6">
        <v>147035760</v>
      </c>
      <c r="K173" s="7">
        <v>0.98953289</v>
      </c>
      <c r="L173" s="6">
        <f t="shared" si="2"/>
        <v>7961.650422352177</v>
      </c>
    </row>
    <row r="174" spans="1:12" x14ac:dyDescent="0.25">
      <c r="A174" s="2" t="s">
        <v>77</v>
      </c>
      <c r="B174" s="2" t="s">
        <v>78</v>
      </c>
      <c r="C174" s="2" t="s">
        <v>276</v>
      </c>
      <c r="D174" s="3">
        <v>21033</v>
      </c>
      <c r="E174" s="3">
        <v>450</v>
      </c>
      <c r="F174" s="3">
        <v>626</v>
      </c>
      <c r="G174" s="3">
        <v>22109</v>
      </c>
      <c r="H174" s="3">
        <v>149183975</v>
      </c>
      <c r="I174" s="3">
        <v>0</v>
      </c>
      <c r="J174" s="3">
        <v>149183975</v>
      </c>
      <c r="K174" s="4">
        <v>0.99900000000000011</v>
      </c>
      <c r="L174" s="3">
        <f t="shared" si="2"/>
        <v>6747.6581934958613</v>
      </c>
    </row>
    <row r="175" spans="1:12" x14ac:dyDescent="0.25">
      <c r="A175" s="5" t="s">
        <v>77</v>
      </c>
      <c r="B175" s="5" t="s">
        <v>78</v>
      </c>
      <c r="C175" s="5" t="s">
        <v>277</v>
      </c>
      <c r="D175" s="6">
        <v>157227</v>
      </c>
      <c r="E175" s="6">
        <v>947</v>
      </c>
      <c r="F175" s="6">
        <v>118</v>
      </c>
      <c r="G175" s="6">
        <v>158292</v>
      </c>
      <c r="H175" s="6">
        <v>200891976</v>
      </c>
      <c r="I175" s="6">
        <v>0</v>
      </c>
      <c r="J175" s="6">
        <v>200891976</v>
      </c>
      <c r="K175" s="7">
        <v>0.99858194</v>
      </c>
      <c r="L175" s="6">
        <f t="shared" si="2"/>
        <v>1269.1227351982411</v>
      </c>
    </row>
    <row r="176" spans="1:12" x14ac:dyDescent="0.25">
      <c r="A176" s="2" t="s">
        <v>77</v>
      </c>
      <c r="B176" s="2" t="s">
        <v>78</v>
      </c>
      <c r="C176" s="2" t="s">
        <v>226</v>
      </c>
      <c r="D176" s="3">
        <v>165299</v>
      </c>
      <c r="E176" s="3">
        <v>774</v>
      </c>
      <c r="F176" s="3">
        <v>430</v>
      </c>
      <c r="G176" s="3">
        <v>166503</v>
      </c>
      <c r="H176" s="3">
        <v>223870176</v>
      </c>
      <c r="I176" s="3">
        <v>0</v>
      </c>
      <c r="J176" s="3">
        <v>223870176</v>
      </c>
      <c r="K176" s="4">
        <v>0.99526692999999999</v>
      </c>
      <c r="L176" s="3">
        <f t="shared" si="2"/>
        <v>1344.5413956505288</v>
      </c>
    </row>
    <row r="177" spans="1:12" x14ac:dyDescent="0.25">
      <c r="A177" s="5" t="s">
        <v>77</v>
      </c>
      <c r="B177" s="5" t="s">
        <v>78</v>
      </c>
      <c r="C177" s="5" t="s">
        <v>226</v>
      </c>
      <c r="D177" s="6">
        <v>165299</v>
      </c>
      <c r="E177" s="6">
        <v>774</v>
      </c>
      <c r="F177" s="6">
        <v>430</v>
      </c>
      <c r="G177" s="6">
        <v>166503</v>
      </c>
      <c r="H177" s="6">
        <v>275967676</v>
      </c>
      <c r="I177" s="6">
        <v>0</v>
      </c>
      <c r="J177" s="6">
        <v>275967676</v>
      </c>
      <c r="K177" s="7">
        <v>0.99538450999999994</v>
      </c>
      <c r="L177" s="6">
        <f t="shared" si="2"/>
        <v>1657.4336558500447</v>
      </c>
    </row>
    <row r="178" spans="1:12" x14ac:dyDescent="0.25">
      <c r="A178" s="2" t="s">
        <v>77</v>
      </c>
      <c r="B178" s="2" t="s">
        <v>78</v>
      </c>
      <c r="C178" s="2" t="s">
        <v>278</v>
      </c>
      <c r="D178" s="3">
        <v>156595</v>
      </c>
      <c r="E178" s="3">
        <v>585</v>
      </c>
      <c r="F178" s="3">
        <v>449</v>
      </c>
      <c r="G178" s="3">
        <v>157629</v>
      </c>
      <c r="H178" s="3">
        <v>525582771</v>
      </c>
      <c r="I178" s="3">
        <v>0</v>
      </c>
      <c r="J178" s="3">
        <v>525582771</v>
      </c>
      <c r="K178" s="4">
        <v>0.99998000000000009</v>
      </c>
      <c r="L178" s="3">
        <f t="shared" si="2"/>
        <v>3334.3025141312828</v>
      </c>
    </row>
    <row r="179" spans="1:12" x14ac:dyDescent="0.25">
      <c r="A179" s="5" t="s">
        <v>77</v>
      </c>
      <c r="B179" s="5" t="s">
        <v>78</v>
      </c>
      <c r="C179" s="5" t="s">
        <v>279</v>
      </c>
      <c r="D179" s="6">
        <v>148187</v>
      </c>
      <c r="E179" s="6">
        <v>459</v>
      </c>
      <c r="F179" s="6">
        <v>416</v>
      </c>
      <c r="G179" s="6">
        <v>149062</v>
      </c>
      <c r="H179" s="6">
        <v>450467227</v>
      </c>
      <c r="I179" s="6">
        <v>0</v>
      </c>
      <c r="J179" s="6">
        <v>450467227</v>
      </c>
      <c r="K179" s="7">
        <v>0.85619000000000001</v>
      </c>
      <c r="L179" s="6">
        <f t="shared" si="2"/>
        <v>3022.0124981551303</v>
      </c>
    </row>
    <row r="180" spans="1:12" x14ac:dyDescent="0.25">
      <c r="A180" s="2" t="s">
        <v>77</v>
      </c>
      <c r="B180" s="2" t="s">
        <v>78</v>
      </c>
      <c r="C180" s="2" t="s">
        <v>251</v>
      </c>
      <c r="D180" s="3">
        <v>138829</v>
      </c>
      <c r="E180" s="3">
        <v>422</v>
      </c>
      <c r="F180" s="3">
        <v>336</v>
      </c>
      <c r="G180" s="3">
        <v>139587</v>
      </c>
      <c r="H180" s="3">
        <v>408009727</v>
      </c>
      <c r="I180" s="3">
        <v>0</v>
      </c>
      <c r="J180" s="3">
        <v>408009727</v>
      </c>
      <c r="K180" s="4">
        <v>0.77629000000000004</v>
      </c>
      <c r="L180" s="3">
        <f t="shared" si="2"/>
        <v>2922.9779778919242</v>
      </c>
    </row>
    <row r="181" spans="1:12" x14ac:dyDescent="0.25">
      <c r="A181" s="5" t="s">
        <v>77</v>
      </c>
      <c r="B181" s="5" t="s">
        <v>78</v>
      </c>
      <c r="C181" s="5" t="s">
        <v>79</v>
      </c>
      <c r="D181" s="6">
        <v>104554</v>
      </c>
      <c r="E181" s="6">
        <v>422</v>
      </c>
      <c r="F181" s="6">
        <v>336</v>
      </c>
      <c r="G181" s="6">
        <v>105312</v>
      </c>
      <c r="H181" s="6">
        <v>401673127</v>
      </c>
      <c r="I181" s="6">
        <v>0</v>
      </c>
      <c r="J181" s="6">
        <v>401673127</v>
      </c>
      <c r="K181" s="7">
        <v>0.76422999999999996</v>
      </c>
      <c r="L181" s="6">
        <f t="shared" si="2"/>
        <v>3814.1249525220296</v>
      </c>
    </row>
    <row r="182" spans="1:12" x14ac:dyDescent="0.25">
      <c r="A182" s="2" t="s">
        <v>99</v>
      </c>
      <c r="B182" s="2" t="s">
        <v>100</v>
      </c>
      <c r="C182" s="2" t="s">
        <v>258</v>
      </c>
      <c r="D182" s="3">
        <v>6001</v>
      </c>
      <c r="E182" s="3">
        <v>758</v>
      </c>
      <c r="F182" s="3">
        <v>371</v>
      </c>
      <c r="G182" s="3">
        <v>7130</v>
      </c>
      <c r="H182" s="3">
        <v>261043342</v>
      </c>
      <c r="I182" s="3">
        <v>0</v>
      </c>
      <c r="J182" s="3">
        <v>261043342</v>
      </c>
      <c r="K182" s="4">
        <v>0.65302824999999998</v>
      </c>
      <c r="L182" s="3">
        <f t="shared" si="2"/>
        <v>36611.96942496494</v>
      </c>
    </row>
    <row r="183" spans="1:12" x14ac:dyDescent="0.25">
      <c r="A183" s="5" t="s">
        <v>99</v>
      </c>
      <c r="B183" s="5" t="s">
        <v>100</v>
      </c>
      <c r="C183" s="5" t="s">
        <v>196</v>
      </c>
      <c r="D183" s="6">
        <v>7535</v>
      </c>
      <c r="E183" s="6">
        <v>490</v>
      </c>
      <c r="F183" s="6">
        <v>409</v>
      </c>
      <c r="G183" s="6">
        <v>8434</v>
      </c>
      <c r="H183" s="6">
        <v>281154098</v>
      </c>
      <c r="I183" s="6">
        <v>0</v>
      </c>
      <c r="J183" s="6">
        <v>281154098</v>
      </c>
      <c r="K183" s="7">
        <v>0.70334000000000008</v>
      </c>
      <c r="L183" s="6">
        <f t="shared" si="2"/>
        <v>33335.795352146073</v>
      </c>
    </row>
    <row r="184" spans="1:12" x14ac:dyDescent="0.25">
      <c r="A184" s="2" t="s">
        <v>99</v>
      </c>
      <c r="B184" s="2" t="s">
        <v>100</v>
      </c>
      <c r="C184" s="2" t="s">
        <v>196</v>
      </c>
      <c r="D184" s="3">
        <v>7535</v>
      </c>
      <c r="E184" s="3">
        <v>490</v>
      </c>
      <c r="F184" s="3">
        <v>409</v>
      </c>
      <c r="G184" s="3">
        <v>8434</v>
      </c>
      <c r="H184" s="3">
        <v>281154098</v>
      </c>
      <c r="I184" s="3">
        <v>0</v>
      </c>
      <c r="J184" s="3">
        <v>281154098</v>
      </c>
      <c r="K184" s="4">
        <v>0.70334000000000008</v>
      </c>
      <c r="L184" s="3">
        <f t="shared" si="2"/>
        <v>33335.795352146073</v>
      </c>
    </row>
    <row r="185" spans="1:12" x14ac:dyDescent="0.25">
      <c r="A185" s="5" t="s">
        <v>99</v>
      </c>
      <c r="B185" s="5" t="s">
        <v>100</v>
      </c>
      <c r="C185" s="5" t="s">
        <v>217</v>
      </c>
      <c r="D185" s="6">
        <v>90274</v>
      </c>
      <c r="E185" s="6">
        <v>3622</v>
      </c>
      <c r="F185" s="6">
        <v>511</v>
      </c>
      <c r="G185" s="6">
        <v>94407</v>
      </c>
      <c r="H185" s="6">
        <v>281609283</v>
      </c>
      <c r="I185" s="6">
        <v>0</v>
      </c>
      <c r="J185" s="6">
        <v>281609283</v>
      </c>
      <c r="K185" s="7">
        <v>0.70447999999999988</v>
      </c>
      <c r="L185" s="6">
        <f t="shared" si="2"/>
        <v>2982.9279926276654</v>
      </c>
    </row>
    <row r="186" spans="1:12" x14ac:dyDescent="0.25">
      <c r="A186" s="2" t="s">
        <v>99</v>
      </c>
      <c r="B186" s="2" t="s">
        <v>100</v>
      </c>
      <c r="C186" s="2" t="s">
        <v>280</v>
      </c>
      <c r="D186" s="3">
        <v>110085</v>
      </c>
      <c r="E186" s="3">
        <v>1778</v>
      </c>
      <c r="F186" s="3">
        <v>683</v>
      </c>
      <c r="G186" s="3">
        <v>112546</v>
      </c>
      <c r="H186" s="3">
        <v>274142301</v>
      </c>
      <c r="I186" s="3">
        <v>0</v>
      </c>
      <c r="J186" s="3">
        <v>274142301</v>
      </c>
      <c r="K186" s="4">
        <v>0.68579674999999995</v>
      </c>
      <c r="L186" s="3">
        <f t="shared" si="2"/>
        <v>2435.8244717715424</v>
      </c>
    </row>
    <row r="187" spans="1:12" x14ac:dyDescent="0.25">
      <c r="A187" s="5" t="s">
        <v>99</v>
      </c>
      <c r="B187" s="5" t="s">
        <v>100</v>
      </c>
      <c r="C187" s="5" t="s">
        <v>176</v>
      </c>
      <c r="D187" s="6">
        <v>90709</v>
      </c>
      <c r="E187" s="6">
        <v>1090</v>
      </c>
      <c r="F187" s="6">
        <v>355</v>
      </c>
      <c r="G187" s="6">
        <v>92154</v>
      </c>
      <c r="H187" s="6">
        <v>265784616</v>
      </c>
      <c r="I187" s="6">
        <v>0</v>
      </c>
      <c r="J187" s="6">
        <v>265784616</v>
      </c>
      <c r="K187" s="7">
        <v>0.66489000000000009</v>
      </c>
      <c r="L187" s="6">
        <f t="shared" si="2"/>
        <v>2884.13542548343</v>
      </c>
    </row>
    <row r="188" spans="1:12" x14ac:dyDescent="0.25">
      <c r="A188" s="2" t="s">
        <v>99</v>
      </c>
      <c r="B188" s="2" t="s">
        <v>100</v>
      </c>
      <c r="C188" s="2" t="s">
        <v>177</v>
      </c>
      <c r="D188" s="3">
        <v>83666</v>
      </c>
      <c r="E188" s="3">
        <v>1126</v>
      </c>
      <c r="F188" s="3">
        <v>709</v>
      </c>
      <c r="G188" s="3">
        <v>85501</v>
      </c>
      <c r="H188" s="3">
        <v>257174951</v>
      </c>
      <c r="I188" s="3">
        <v>0</v>
      </c>
      <c r="J188" s="3">
        <v>257174951</v>
      </c>
      <c r="K188" s="4">
        <v>0.66972999999999994</v>
      </c>
      <c r="L188" s="3">
        <f t="shared" si="2"/>
        <v>3007.8589841054491</v>
      </c>
    </row>
    <row r="189" spans="1:12" x14ac:dyDescent="0.25">
      <c r="A189" s="5" t="s">
        <v>99</v>
      </c>
      <c r="B189" s="5" t="s">
        <v>100</v>
      </c>
      <c r="C189" s="5" t="s">
        <v>281</v>
      </c>
      <c r="D189" s="6">
        <v>79103</v>
      </c>
      <c r="E189" s="6">
        <v>1228</v>
      </c>
      <c r="F189" s="6">
        <v>793</v>
      </c>
      <c r="G189" s="6">
        <v>81124</v>
      </c>
      <c r="H189" s="6">
        <v>256052495</v>
      </c>
      <c r="I189" s="6">
        <v>48543286</v>
      </c>
      <c r="J189" s="6">
        <v>304595781</v>
      </c>
      <c r="K189" s="7">
        <v>0.66120000000000001</v>
      </c>
      <c r="L189" s="6">
        <f t="shared" si="2"/>
        <v>3754.6938144075734</v>
      </c>
    </row>
    <row r="190" spans="1:12" x14ac:dyDescent="0.25">
      <c r="A190" s="2" t="s">
        <v>99</v>
      </c>
      <c r="B190" s="2" t="s">
        <v>100</v>
      </c>
      <c r="C190" s="2" t="s">
        <v>20</v>
      </c>
      <c r="D190" s="3">
        <v>73710</v>
      </c>
      <c r="E190" s="3">
        <v>678</v>
      </c>
      <c r="F190" s="3">
        <v>1108</v>
      </c>
      <c r="G190" s="3">
        <v>75496</v>
      </c>
      <c r="H190" s="3">
        <v>250639995</v>
      </c>
      <c r="I190" s="3">
        <v>47271637</v>
      </c>
      <c r="J190" s="3">
        <v>297911632</v>
      </c>
      <c r="K190" s="4">
        <v>0.65698999999999996</v>
      </c>
      <c r="L190" s="3">
        <f t="shared" si="2"/>
        <v>3946.0584931652006</v>
      </c>
    </row>
    <row r="191" spans="1:12" x14ac:dyDescent="0.25">
      <c r="A191" s="5" t="s">
        <v>46</v>
      </c>
      <c r="B191" s="5" t="s">
        <v>47</v>
      </c>
      <c r="C191" s="5" t="s">
        <v>282</v>
      </c>
      <c r="D191" s="6">
        <v>11304</v>
      </c>
      <c r="E191" s="6">
        <v>7855</v>
      </c>
      <c r="F191" s="6">
        <v>915</v>
      </c>
      <c r="G191" s="6">
        <v>20074</v>
      </c>
      <c r="H191" s="6">
        <v>254813849</v>
      </c>
      <c r="I191" s="6">
        <v>0</v>
      </c>
      <c r="J191" s="6">
        <v>254813849</v>
      </c>
      <c r="K191" s="7">
        <v>0.31230000000000002</v>
      </c>
      <c r="L191" s="6">
        <f t="shared" si="2"/>
        <v>12693.725665039354</v>
      </c>
    </row>
    <row r="192" spans="1:12" x14ac:dyDescent="0.25">
      <c r="A192" s="2" t="s">
        <v>46</v>
      </c>
      <c r="B192" s="2" t="s">
        <v>47</v>
      </c>
      <c r="C192" s="2" t="s">
        <v>196</v>
      </c>
      <c r="D192" s="3">
        <v>49209</v>
      </c>
      <c r="E192" s="3">
        <v>7768</v>
      </c>
      <c r="F192" s="3">
        <v>1173</v>
      </c>
      <c r="G192" s="3">
        <v>58150</v>
      </c>
      <c r="H192" s="3">
        <v>254813401</v>
      </c>
      <c r="I192" s="3">
        <v>0</v>
      </c>
      <c r="J192" s="3">
        <v>254813401</v>
      </c>
      <c r="K192" s="4">
        <v>0.31230000000000002</v>
      </c>
      <c r="L192" s="3">
        <f t="shared" si="2"/>
        <v>4382.0017368873605</v>
      </c>
    </row>
    <row r="193" spans="1:12" x14ac:dyDescent="0.25">
      <c r="A193" s="5" t="s">
        <v>46</v>
      </c>
      <c r="B193" s="5" t="s">
        <v>47</v>
      </c>
      <c r="C193" s="5" t="s">
        <v>283</v>
      </c>
      <c r="D193" s="6">
        <v>132642</v>
      </c>
      <c r="E193" s="6">
        <v>7889</v>
      </c>
      <c r="F193" s="6">
        <v>1212</v>
      </c>
      <c r="G193" s="6">
        <v>141743</v>
      </c>
      <c r="H193" s="6">
        <v>254792279</v>
      </c>
      <c r="I193" s="6">
        <v>0</v>
      </c>
      <c r="J193" s="6">
        <v>254792279</v>
      </c>
      <c r="K193" s="7">
        <v>0.31230000000000002</v>
      </c>
      <c r="L193" s="6">
        <f t="shared" si="2"/>
        <v>1797.5651637117883</v>
      </c>
    </row>
    <row r="194" spans="1:12" x14ac:dyDescent="0.25">
      <c r="A194" s="2" t="s">
        <v>46</v>
      </c>
      <c r="B194" s="2" t="s">
        <v>47</v>
      </c>
      <c r="C194" s="2" t="s">
        <v>188</v>
      </c>
      <c r="D194" s="3">
        <v>232303</v>
      </c>
      <c r="E194" s="3">
        <v>8121</v>
      </c>
      <c r="F194" s="3">
        <v>980</v>
      </c>
      <c r="G194" s="3">
        <v>241404</v>
      </c>
      <c r="H194" s="3">
        <v>255217329</v>
      </c>
      <c r="I194" s="3">
        <v>0</v>
      </c>
      <c r="J194" s="3">
        <v>255217329</v>
      </c>
      <c r="K194" s="4">
        <v>0.31279403</v>
      </c>
      <c r="L194" s="3">
        <f t="shared" ref="L194:L257" si="3">IFERROR(J194/G194,"")</f>
        <v>1057.2207958443107</v>
      </c>
    </row>
    <row r="195" spans="1:12" x14ac:dyDescent="0.25">
      <c r="A195" s="5" t="s">
        <v>46</v>
      </c>
      <c r="B195" s="5" t="s">
        <v>47</v>
      </c>
      <c r="C195" s="5" t="s">
        <v>200</v>
      </c>
      <c r="D195" s="6">
        <v>253048</v>
      </c>
      <c r="E195" s="6">
        <v>8166</v>
      </c>
      <c r="F195" s="6">
        <v>1122</v>
      </c>
      <c r="G195" s="6">
        <v>262336</v>
      </c>
      <c r="H195" s="6">
        <v>255208461</v>
      </c>
      <c r="I195" s="6">
        <v>0</v>
      </c>
      <c r="J195" s="6">
        <v>255208461</v>
      </c>
      <c r="K195" s="7">
        <v>0.31278317</v>
      </c>
      <c r="L195" s="6">
        <f t="shared" si="3"/>
        <v>972.83049600512322</v>
      </c>
    </row>
    <row r="196" spans="1:12" x14ac:dyDescent="0.25">
      <c r="A196" s="2" t="s">
        <v>46</v>
      </c>
      <c r="B196" s="2" t="s">
        <v>47</v>
      </c>
      <c r="C196" s="2" t="s">
        <v>267</v>
      </c>
      <c r="D196" s="3">
        <v>277890</v>
      </c>
      <c r="E196" s="3">
        <v>8191</v>
      </c>
      <c r="F196" s="3">
        <v>1153</v>
      </c>
      <c r="G196" s="3">
        <v>287234</v>
      </c>
      <c r="H196" s="3">
        <v>255236961</v>
      </c>
      <c r="I196" s="3">
        <v>0</v>
      </c>
      <c r="J196" s="3">
        <v>255236961</v>
      </c>
      <c r="K196" s="4">
        <v>0.31281999999999999</v>
      </c>
      <c r="L196" s="3">
        <f t="shared" si="3"/>
        <v>888.60288475598293</v>
      </c>
    </row>
    <row r="197" spans="1:12" x14ac:dyDescent="0.25">
      <c r="A197" s="5" t="s">
        <v>46</v>
      </c>
      <c r="B197" s="5" t="s">
        <v>47</v>
      </c>
      <c r="C197" s="5" t="s">
        <v>177</v>
      </c>
      <c r="D197" s="6">
        <v>263061</v>
      </c>
      <c r="E197" s="6">
        <v>7565</v>
      </c>
      <c r="F197" s="6">
        <v>1094</v>
      </c>
      <c r="G197" s="6">
        <v>271720</v>
      </c>
      <c r="H197" s="6">
        <v>255236938</v>
      </c>
      <c r="I197" s="6">
        <v>0</v>
      </c>
      <c r="J197" s="6">
        <v>255236938</v>
      </c>
      <c r="K197" s="7">
        <v>0.31281999999999999</v>
      </c>
      <c r="L197" s="6">
        <f t="shared" si="3"/>
        <v>939.33806123951126</v>
      </c>
    </row>
    <row r="198" spans="1:12" x14ac:dyDescent="0.25">
      <c r="A198" s="2" t="s">
        <v>46</v>
      </c>
      <c r="B198" s="2" t="s">
        <v>47</v>
      </c>
      <c r="C198" s="2" t="s">
        <v>284</v>
      </c>
      <c r="D198" s="3">
        <v>250373</v>
      </c>
      <c r="E198" s="3">
        <v>7329</v>
      </c>
      <c r="F198" s="3">
        <v>973</v>
      </c>
      <c r="G198" s="3">
        <v>258675</v>
      </c>
      <c r="H198" s="3">
        <v>357310487</v>
      </c>
      <c r="I198" s="3">
        <v>0</v>
      </c>
      <c r="J198" s="3">
        <v>357310487</v>
      </c>
      <c r="K198" s="4">
        <v>0.31280000000000002</v>
      </c>
      <c r="L198" s="3">
        <f t="shared" si="3"/>
        <v>1381.3104745336814</v>
      </c>
    </row>
    <row r="199" spans="1:12" x14ac:dyDescent="0.25">
      <c r="A199" s="5" t="s">
        <v>46</v>
      </c>
      <c r="B199" s="5" t="s">
        <v>47</v>
      </c>
      <c r="C199" s="5" t="s">
        <v>48</v>
      </c>
      <c r="D199" s="6">
        <v>256355</v>
      </c>
      <c r="E199" s="6">
        <v>7216</v>
      </c>
      <c r="F199" s="6">
        <v>993</v>
      </c>
      <c r="G199" s="6">
        <v>264564</v>
      </c>
      <c r="H199" s="6">
        <v>443076690</v>
      </c>
      <c r="I199" s="6">
        <v>0</v>
      </c>
      <c r="J199" s="6">
        <v>443076690</v>
      </c>
      <c r="K199" s="7">
        <v>0.31281999999999999</v>
      </c>
      <c r="L199" s="6">
        <f t="shared" si="3"/>
        <v>1674.7429355467864</v>
      </c>
    </row>
    <row r="200" spans="1:12" x14ac:dyDescent="0.25">
      <c r="A200" s="2" t="s">
        <v>41</v>
      </c>
      <c r="B200" s="2" t="s">
        <v>285</v>
      </c>
      <c r="C200" s="2" t="s">
        <v>227</v>
      </c>
      <c r="D200" s="3">
        <v>28294</v>
      </c>
      <c r="E200" s="3">
        <v>230</v>
      </c>
      <c r="F200" s="3">
        <v>0</v>
      </c>
      <c r="G200" s="3">
        <v>28524</v>
      </c>
      <c r="H200" s="3">
        <v>1915985</v>
      </c>
      <c r="I200" s="3">
        <v>0</v>
      </c>
      <c r="J200" s="3">
        <v>1915985</v>
      </c>
      <c r="K200" s="4">
        <v>0.16289999999999999</v>
      </c>
      <c r="L200" s="3">
        <f t="shared" si="3"/>
        <v>67.170978824849243</v>
      </c>
    </row>
    <row r="201" spans="1:12" x14ac:dyDescent="0.25">
      <c r="A201" s="5" t="s">
        <v>41</v>
      </c>
      <c r="B201" s="5" t="s">
        <v>286</v>
      </c>
      <c r="C201" s="5" t="s">
        <v>287</v>
      </c>
      <c r="D201" s="6">
        <v>17332</v>
      </c>
      <c r="E201" s="6">
        <v>10348</v>
      </c>
      <c r="F201" s="6">
        <v>688</v>
      </c>
      <c r="G201" s="6">
        <v>28368</v>
      </c>
      <c r="H201" s="6">
        <v>269667840</v>
      </c>
      <c r="I201" s="6">
        <v>226111686</v>
      </c>
      <c r="J201" s="6">
        <v>495779526</v>
      </c>
      <c r="K201" s="7">
        <v>0.36652892999999998</v>
      </c>
      <c r="L201" s="6">
        <f t="shared" si="3"/>
        <v>17476.71763959391</v>
      </c>
    </row>
    <row r="202" spans="1:12" x14ac:dyDescent="0.25">
      <c r="A202" s="2" t="s">
        <v>41</v>
      </c>
      <c r="B202" s="2" t="s">
        <v>285</v>
      </c>
      <c r="C202" s="2" t="s">
        <v>204</v>
      </c>
      <c r="D202" s="3">
        <v>28279</v>
      </c>
      <c r="E202" s="3">
        <v>225</v>
      </c>
      <c r="F202" s="3">
        <v>0</v>
      </c>
      <c r="G202" s="3">
        <v>28504</v>
      </c>
      <c r="H202" s="3">
        <v>1915985</v>
      </c>
      <c r="I202" s="3">
        <v>0</v>
      </c>
      <c r="J202" s="3">
        <v>1915985</v>
      </c>
      <c r="K202" s="4">
        <v>0.16289999999999999</v>
      </c>
      <c r="L202" s="3">
        <f t="shared" si="3"/>
        <v>67.218109738983998</v>
      </c>
    </row>
    <row r="203" spans="1:12" x14ac:dyDescent="0.25">
      <c r="A203" s="5" t="s">
        <v>41</v>
      </c>
      <c r="B203" s="5" t="s">
        <v>286</v>
      </c>
      <c r="C203" s="5" t="s">
        <v>288</v>
      </c>
      <c r="D203" s="6">
        <v>47368</v>
      </c>
      <c r="E203" s="6">
        <v>9822</v>
      </c>
      <c r="F203" s="6">
        <v>868</v>
      </c>
      <c r="G203" s="6">
        <v>58058</v>
      </c>
      <c r="H203" s="6">
        <v>358028908</v>
      </c>
      <c r="I203" s="6">
        <v>240169468</v>
      </c>
      <c r="J203" s="6">
        <v>598198376</v>
      </c>
      <c r="K203" s="7">
        <v>0.3812777</v>
      </c>
      <c r="L203" s="6">
        <f t="shared" si="3"/>
        <v>10303.461641806469</v>
      </c>
    </row>
    <row r="204" spans="1:12" x14ac:dyDescent="0.25">
      <c r="A204" s="2" t="s">
        <v>41</v>
      </c>
      <c r="B204" s="2" t="s">
        <v>285</v>
      </c>
      <c r="C204" s="2" t="s">
        <v>197</v>
      </c>
      <c r="D204" s="3">
        <v>28263</v>
      </c>
      <c r="E204" s="3">
        <v>225</v>
      </c>
      <c r="F204" s="3">
        <v>0</v>
      </c>
      <c r="G204" s="3">
        <v>28488</v>
      </c>
      <c r="H204" s="3">
        <v>1915985</v>
      </c>
      <c r="I204" s="3">
        <v>0</v>
      </c>
      <c r="J204" s="3">
        <v>1915985</v>
      </c>
      <c r="K204" s="4">
        <v>0.16289999999999999</v>
      </c>
      <c r="L204" s="3">
        <f t="shared" si="3"/>
        <v>67.255862117382762</v>
      </c>
    </row>
    <row r="205" spans="1:12" x14ac:dyDescent="0.25">
      <c r="A205" s="5" t="s">
        <v>41</v>
      </c>
      <c r="B205" s="5" t="s">
        <v>286</v>
      </c>
      <c r="C205" s="5" t="s">
        <v>277</v>
      </c>
      <c r="D205" s="6">
        <v>122540</v>
      </c>
      <c r="E205" s="6">
        <v>9677</v>
      </c>
      <c r="F205" s="6">
        <v>953</v>
      </c>
      <c r="G205" s="6">
        <v>133170</v>
      </c>
      <c r="H205" s="6">
        <v>358018408</v>
      </c>
      <c r="I205" s="6">
        <v>243124047</v>
      </c>
      <c r="J205" s="6">
        <v>601142455</v>
      </c>
      <c r="K205" s="7">
        <v>0.38316757000000001</v>
      </c>
      <c r="L205" s="6">
        <f t="shared" si="3"/>
        <v>4514.0981827738979</v>
      </c>
    </row>
    <row r="206" spans="1:12" x14ac:dyDescent="0.25">
      <c r="A206" s="2" t="s">
        <v>41</v>
      </c>
      <c r="B206" s="2" t="s">
        <v>285</v>
      </c>
      <c r="C206" s="2" t="s">
        <v>289</v>
      </c>
      <c r="D206" s="3">
        <v>28263</v>
      </c>
      <c r="E206" s="3">
        <v>225</v>
      </c>
      <c r="F206" s="3">
        <v>0</v>
      </c>
      <c r="G206" s="3">
        <v>28488</v>
      </c>
      <c r="H206" s="3">
        <v>1915985</v>
      </c>
      <c r="I206" s="3">
        <v>0</v>
      </c>
      <c r="J206" s="3">
        <v>1915985</v>
      </c>
      <c r="K206" s="4">
        <v>0.16289999999999999</v>
      </c>
      <c r="L206" s="3">
        <f t="shared" si="3"/>
        <v>67.255862117382762</v>
      </c>
    </row>
    <row r="207" spans="1:12" x14ac:dyDescent="0.25">
      <c r="A207" s="5" t="s">
        <v>41</v>
      </c>
      <c r="B207" s="5" t="s">
        <v>286</v>
      </c>
      <c r="C207" s="5" t="s">
        <v>277</v>
      </c>
      <c r="D207" s="6">
        <v>122540</v>
      </c>
      <c r="E207" s="6">
        <v>9677</v>
      </c>
      <c r="F207" s="6">
        <v>953</v>
      </c>
      <c r="G207" s="6">
        <v>133170</v>
      </c>
      <c r="H207" s="6">
        <v>358028908</v>
      </c>
      <c r="I207" s="6">
        <v>243134047</v>
      </c>
      <c r="J207" s="6">
        <v>601162955</v>
      </c>
      <c r="K207" s="7">
        <v>0.38317000000000001</v>
      </c>
      <c r="L207" s="6">
        <f t="shared" si="3"/>
        <v>4514.2521213486525</v>
      </c>
    </row>
    <row r="208" spans="1:12" x14ac:dyDescent="0.25">
      <c r="A208" s="2" t="s">
        <v>41</v>
      </c>
      <c r="B208" s="2" t="s">
        <v>285</v>
      </c>
      <c r="C208" s="2" t="s">
        <v>289</v>
      </c>
      <c r="D208" s="3">
        <v>28263</v>
      </c>
      <c r="E208" s="3">
        <v>225</v>
      </c>
      <c r="F208" s="3">
        <v>0</v>
      </c>
      <c r="G208" s="3">
        <v>28488</v>
      </c>
      <c r="H208" s="3">
        <v>1915985</v>
      </c>
      <c r="I208" s="3">
        <v>0</v>
      </c>
      <c r="J208" s="3">
        <v>1915985</v>
      </c>
      <c r="K208" s="4">
        <v>0.16289999999999999</v>
      </c>
      <c r="L208" s="3">
        <f t="shared" si="3"/>
        <v>67.255862117382762</v>
      </c>
    </row>
    <row r="209" spans="1:12" x14ac:dyDescent="0.25">
      <c r="A209" s="5" t="s">
        <v>41</v>
      </c>
      <c r="B209" s="5" t="s">
        <v>42</v>
      </c>
      <c r="C209" s="5" t="s">
        <v>176</v>
      </c>
      <c r="D209" s="6">
        <v>134891</v>
      </c>
      <c r="E209" s="6">
        <v>9466</v>
      </c>
      <c r="F209" s="6">
        <v>1390</v>
      </c>
      <c r="G209" s="6">
        <v>145747</v>
      </c>
      <c r="H209" s="6">
        <v>2013846657</v>
      </c>
      <c r="I209" s="6">
        <v>275669374</v>
      </c>
      <c r="J209" s="6">
        <v>2289516031</v>
      </c>
      <c r="K209" s="7">
        <v>0.99237799999999998</v>
      </c>
      <c r="L209" s="6">
        <f t="shared" si="3"/>
        <v>15708.838130458946</v>
      </c>
    </row>
    <row r="210" spans="1:12" x14ac:dyDescent="0.25">
      <c r="A210" s="2" t="s">
        <v>41</v>
      </c>
      <c r="B210" s="2" t="s">
        <v>285</v>
      </c>
      <c r="C210" s="2" t="s">
        <v>226</v>
      </c>
      <c r="D210" s="3">
        <v>28233</v>
      </c>
      <c r="E210" s="3">
        <v>313</v>
      </c>
      <c r="F210" s="3">
        <v>0</v>
      </c>
      <c r="G210" s="3">
        <v>28546</v>
      </c>
      <c r="H210" s="3">
        <v>281678</v>
      </c>
      <c r="I210" s="3">
        <v>0</v>
      </c>
      <c r="J210" s="3">
        <v>281678</v>
      </c>
      <c r="K210" s="4">
        <v>2.3939999999999999E-2</v>
      </c>
      <c r="L210" s="3">
        <f t="shared" si="3"/>
        <v>9.8675120857563225</v>
      </c>
    </row>
    <row r="211" spans="1:12" x14ac:dyDescent="0.25">
      <c r="A211" s="5" t="s">
        <v>41</v>
      </c>
      <c r="B211" s="5" t="s">
        <v>42</v>
      </c>
      <c r="C211" s="5" t="s">
        <v>213</v>
      </c>
      <c r="D211" s="6">
        <v>144406</v>
      </c>
      <c r="E211" s="6">
        <v>10701</v>
      </c>
      <c r="F211" s="6">
        <v>677</v>
      </c>
      <c r="G211" s="6">
        <v>155784</v>
      </c>
      <c r="H211" s="6">
        <v>1977170723</v>
      </c>
      <c r="I211" s="6">
        <v>268875696</v>
      </c>
      <c r="J211" s="6">
        <v>2246046419</v>
      </c>
      <c r="K211" s="7">
        <v>0.97353999999999996</v>
      </c>
      <c r="L211" s="6">
        <f t="shared" si="3"/>
        <v>14417.696419401222</v>
      </c>
    </row>
    <row r="212" spans="1:12" x14ac:dyDescent="0.25">
      <c r="A212" s="2" t="s">
        <v>41</v>
      </c>
      <c r="B212" s="2" t="s">
        <v>285</v>
      </c>
      <c r="C212" s="2" t="s">
        <v>232</v>
      </c>
      <c r="D212" s="3">
        <v>0</v>
      </c>
      <c r="E212" s="3">
        <v>1</v>
      </c>
      <c r="F212" s="3">
        <v>0</v>
      </c>
      <c r="G212" s="3">
        <v>1</v>
      </c>
      <c r="H212" s="3">
        <v>0</v>
      </c>
      <c r="I212" s="3">
        <v>0</v>
      </c>
      <c r="J212" s="3">
        <v>0</v>
      </c>
      <c r="K212" s="4">
        <v>0</v>
      </c>
      <c r="L212" s="3">
        <f t="shared" si="3"/>
        <v>0</v>
      </c>
    </row>
    <row r="213" spans="1:12" x14ac:dyDescent="0.25">
      <c r="A213" s="5" t="s">
        <v>41</v>
      </c>
      <c r="B213" s="5" t="s">
        <v>42</v>
      </c>
      <c r="C213" s="5" t="s">
        <v>213</v>
      </c>
      <c r="D213" s="6">
        <v>144406</v>
      </c>
      <c r="E213" s="6">
        <v>10701</v>
      </c>
      <c r="F213" s="6">
        <v>677</v>
      </c>
      <c r="G213" s="6">
        <v>155784</v>
      </c>
      <c r="H213" s="6">
        <v>1977170723</v>
      </c>
      <c r="I213" s="6">
        <v>268875696</v>
      </c>
      <c r="J213" s="6">
        <v>2246046419</v>
      </c>
      <c r="K213" s="7">
        <v>0.97353999999999996</v>
      </c>
      <c r="L213" s="6">
        <f t="shared" si="3"/>
        <v>14417.696419401222</v>
      </c>
    </row>
    <row r="214" spans="1:12" x14ac:dyDescent="0.25">
      <c r="A214" s="2" t="s">
        <v>41</v>
      </c>
      <c r="B214" s="2" t="s">
        <v>285</v>
      </c>
      <c r="C214" s="2" t="s">
        <v>232</v>
      </c>
      <c r="D214" s="3">
        <v>0</v>
      </c>
      <c r="E214" s="3">
        <v>1</v>
      </c>
      <c r="F214" s="3">
        <v>0</v>
      </c>
      <c r="G214" s="3">
        <v>1</v>
      </c>
      <c r="H214" s="3">
        <v>0</v>
      </c>
      <c r="I214" s="3">
        <v>0</v>
      </c>
      <c r="J214" s="3">
        <v>0</v>
      </c>
      <c r="K214" s="4">
        <v>0</v>
      </c>
      <c r="L214" s="3">
        <f t="shared" si="3"/>
        <v>0</v>
      </c>
    </row>
    <row r="215" spans="1:12" x14ac:dyDescent="0.25">
      <c r="A215" s="5" t="s">
        <v>41</v>
      </c>
      <c r="B215" s="5" t="s">
        <v>42</v>
      </c>
      <c r="C215" s="5" t="s">
        <v>290</v>
      </c>
      <c r="D215" s="6">
        <v>178629</v>
      </c>
      <c r="E215" s="6">
        <v>44602</v>
      </c>
      <c r="F215" s="6">
        <v>1449</v>
      </c>
      <c r="G215" s="6">
        <v>224680</v>
      </c>
      <c r="H215" s="6">
        <v>1863816444</v>
      </c>
      <c r="I215" s="6">
        <v>830324211</v>
      </c>
      <c r="J215" s="6">
        <v>2694140655</v>
      </c>
      <c r="K215" s="7">
        <v>0.92409999999999992</v>
      </c>
      <c r="L215" s="6">
        <f t="shared" si="3"/>
        <v>11991.012350899056</v>
      </c>
    </row>
    <row r="216" spans="1:12" x14ac:dyDescent="0.25">
      <c r="A216" s="2" t="s">
        <v>41</v>
      </c>
      <c r="B216" s="2" t="s">
        <v>42</v>
      </c>
      <c r="C216" s="2" t="s">
        <v>43</v>
      </c>
      <c r="D216" s="3">
        <v>228814</v>
      </c>
      <c r="E216" s="3">
        <v>45101</v>
      </c>
      <c r="F216" s="3">
        <v>1776</v>
      </c>
      <c r="G216" s="3">
        <v>275691</v>
      </c>
      <c r="H216" s="3">
        <v>2364888054</v>
      </c>
      <c r="I216" s="3">
        <v>447942145</v>
      </c>
      <c r="J216" s="3">
        <v>2812830199</v>
      </c>
      <c r="K216" s="4">
        <v>0.97543999999999997</v>
      </c>
      <c r="L216" s="3">
        <f t="shared" si="3"/>
        <v>10202.836505362888</v>
      </c>
    </row>
    <row r="217" spans="1:12" x14ac:dyDescent="0.25">
      <c r="A217" s="5" t="s">
        <v>86</v>
      </c>
      <c r="B217" s="5" t="s">
        <v>87</v>
      </c>
      <c r="C217" s="5" t="s">
        <v>291</v>
      </c>
      <c r="D217" s="6">
        <v>33605</v>
      </c>
      <c r="E217" s="6">
        <v>14411</v>
      </c>
      <c r="F217" s="6">
        <v>285</v>
      </c>
      <c r="G217" s="6">
        <v>48301</v>
      </c>
      <c r="H217" s="6">
        <v>735868085</v>
      </c>
      <c r="I217" s="6">
        <v>0</v>
      </c>
      <c r="J217" s="6">
        <v>735868085</v>
      </c>
      <c r="K217" s="7">
        <v>0.99379999999999991</v>
      </c>
      <c r="L217" s="6">
        <f t="shared" si="3"/>
        <v>15235.048653236992</v>
      </c>
    </row>
    <row r="218" spans="1:12" x14ac:dyDescent="0.25">
      <c r="A218" s="2" t="s">
        <v>86</v>
      </c>
      <c r="B218" s="2" t="s">
        <v>87</v>
      </c>
      <c r="C218" s="2" t="s">
        <v>197</v>
      </c>
      <c r="D218" s="3">
        <v>67692</v>
      </c>
      <c r="E218" s="3">
        <v>14965</v>
      </c>
      <c r="F218" s="3">
        <v>211</v>
      </c>
      <c r="G218" s="3">
        <v>82868</v>
      </c>
      <c r="H218" s="3">
        <v>736160905</v>
      </c>
      <c r="I218" s="3">
        <v>0</v>
      </c>
      <c r="J218" s="3">
        <v>736160905</v>
      </c>
      <c r="K218" s="4">
        <v>0.99419000000000002</v>
      </c>
      <c r="L218" s="3">
        <f t="shared" si="3"/>
        <v>8883.5365279721973</v>
      </c>
    </row>
    <row r="219" spans="1:12" x14ac:dyDescent="0.25">
      <c r="A219" s="5" t="s">
        <v>86</v>
      </c>
      <c r="B219" s="5" t="s">
        <v>87</v>
      </c>
      <c r="C219" s="5" t="s">
        <v>197</v>
      </c>
      <c r="D219" s="6">
        <v>67692</v>
      </c>
      <c r="E219" s="6">
        <v>14965</v>
      </c>
      <c r="F219" s="6">
        <v>211</v>
      </c>
      <c r="G219" s="6">
        <v>82868</v>
      </c>
      <c r="H219" s="6">
        <v>736143105</v>
      </c>
      <c r="I219" s="6">
        <v>0</v>
      </c>
      <c r="J219" s="6">
        <v>736143105</v>
      </c>
      <c r="K219" s="7">
        <v>0.99415999999999993</v>
      </c>
      <c r="L219" s="6">
        <f t="shared" si="3"/>
        <v>8883.3217285321225</v>
      </c>
    </row>
    <row r="220" spans="1:12" x14ac:dyDescent="0.25">
      <c r="A220" s="2" t="s">
        <v>86</v>
      </c>
      <c r="B220" s="2" t="s">
        <v>87</v>
      </c>
      <c r="C220" s="2" t="s">
        <v>292</v>
      </c>
      <c r="D220" s="3">
        <v>95983</v>
      </c>
      <c r="E220" s="3">
        <v>14777</v>
      </c>
      <c r="F220" s="3">
        <v>273</v>
      </c>
      <c r="G220" s="3">
        <v>111033</v>
      </c>
      <c r="H220" s="3">
        <v>734604605</v>
      </c>
      <c r="I220" s="3">
        <v>0</v>
      </c>
      <c r="J220" s="3">
        <v>734604605</v>
      </c>
      <c r="K220" s="4">
        <v>0.99208499999999999</v>
      </c>
      <c r="L220" s="3">
        <f t="shared" si="3"/>
        <v>6616.0925580683224</v>
      </c>
    </row>
    <row r="221" spans="1:12" x14ac:dyDescent="0.25">
      <c r="A221" s="5" t="s">
        <v>86</v>
      </c>
      <c r="B221" s="5" t="s">
        <v>87</v>
      </c>
      <c r="C221" s="5" t="s">
        <v>292</v>
      </c>
      <c r="D221" s="6">
        <v>95983</v>
      </c>
      <c r="E221" s="6">
        <v>14777</v>
      </c>
      <c r="F221" s="6">
        <v>273</v>
      </c>
      <c r="G221" s="6">
        <v>111033</v>
      </c>
      <c r="H221" s="6">
        <v>734632205</v>
      </c>
      <c r="I221" s="6">
        <v>0</v>
      </c>
      <c r="J221" s="6">
        <v>734632205</v>
      </c>
      <c r="K221" s="7">
        <v>0.99212</v>
      </c>
      <c r="L221" s="6">
        <f t="shared" si="3"/>
        <v>6616.3411328163702</v>
      </c>
    </row>
    <row r="222" spans="1:12" x14ac:dyDescent="0.25">
      <c r="A222" s="2" t="s">
        <v>86</v>
      </c>
      <c r="B222" s="2" t="s">
        <v>87</v>
      </c>
      <c r="C222" s="2" t="s">
        <v>182</v>
      </c>
      <c r="D222" s="3">
        <v>72203</v>
      </c>
      <c r="E222" s="3">
        <v>14450</v>
      </c>
      <c r="F222" s="3">
        <v>397</v>
      </c>
      <c r="G222" s="3">
        <v>87050</v>
      </c>
      <c r="H222" s="3">
        <v>734632601</v>
      </c>
      <c r="I222" s="3">
        <v>0</v>
      </c>
      <c r="J222" s="3">
        <v>734632601</v>
      </c>
      <c r="K222" s="4">
        <v>0.99212</v>
      </c>
      <c r="L222" s="3">
        <f t="shared" si="3"/>
        <v>8439.2027685238372</v>
      </c>
    </row>
    <row r="223" spans="1:12" x14ac:dyDescent="0.25">
      <c r="A223" s="5" t="s">
        <v>86</v>
      </c>
      <c r="B223" s="5" t="s">
        <v>87</v>
      </c>
      <c r="C223" s="5" t="s">
        <v>293</v>
      </c>
      <c r="D223" s="6">
        <v>60047</v>
      </c>
      <c r="E223" s="6">
        <v>14058</v>
      </c>
      <c r="F223" s="6">
        <v>690</v>
      </c>
      <c r="G223" s="6">
        <v>74795</v>
      </c>
      <c r="H223" s="6">
        <v>734631701</v>
      </c>
      <c r="I223" s="6">
        <v>0</v>
      </c>
      <c r="J223" s="6">
        <v>734631701</v>
      </c>
      <c r="K223" s="7">
        <v>0.99212</v>
      </c>
      <c r="L223" s="6">
        <f t="shared" si="3"/>
        <v>9821.9359716558592</v>
      </c>
    </row>
    <row r="224" spans="1:12" x14ac:dyDescent="0.25">
      <c r="A224" s="2" t="s">
        <v>86</v>
      </c>
      <c r="B224" s="2" t="s">
        <v>87</v>
      </c>
      <c r="C224" s="2" t="s">
        <v>88</v>
      </c>
      <c r="D224" s="3">
        <v>77318</v>
      </c>
      <c r="E224" s="3">
        <v>14221</v>
      </c>
      <c r="F224" s="3">
        <v>859</v>
      </c>
      <c r="G224" s="3">
        <v>92398</v>
      </c>
      <c r="H224" s="3">
        <v>711833141</v>
      </c>
      <c r="I224" s="3">
        <v>0</v>
      </c>
      <c r="J224" s="3">
        <v>711833141</v>
      </c>
      <c r="K224" s="4">
        <v>0.96132999999999991</v>
      </c>
      <c r="L224" s="3">
        <f t="shared" si="3"/>
        <v>7703.98862529492</v>
      </c>
    </row>
    <row r="225" spans="1:12" x14ac:dyDescent="0.25">
      <c r="A225" s="5" t="s">
        <v>86</v>
      </c>
      <c r="B225" s="5" t="s">
        <v>87</v>
      </c>
      <c r="C225" s="5" t="s">
        <v>88</v>
      </c>
      <c r="D225" s="6">
        <v>77318</v>
      </c>
      <c r="E225" s="6">
        <v>14221</v>
      </c>
      <c r="F225" s="6">
        <v>859</v>
      </c>
      <c r="G225" s="6">
        <v>92398</v>
      </c>
      <c r="H225" s="6">
        <v>711833141</v>
      </c>
      <c r="I225" s="6">
        <v>0</v>
      </c>
      <c r="J225" s="6">
        <v>711833141</v>
      </c>
      <c r="K225" s="7">
        <v>0.96132999999999991</v>
      </c>
      <c r="L225" s="6">
        <f t="shared" si="3"/>
        <v>7703.98862529492</v>
      </c>
    </row>
    <row r="226" spans="1:12" x14ac:dyDescent="0.25">
      <c r="A226" s="2" t="s">
        <v>153</v>
      </c>
      <c r="B226" s="2" t="s">
        <v>294</v>
      </c>
      <c r="C226" s="2" t="s">
        <v>258</v>
      </c>
      <c r="D226" s="3">
        <v>1</v>
      </c>
      <c r="E226" s="3">
        <v>2</v>
      </c>
      <c r="F226" s="3">
        <v>0</v>
      </c>
      <c r="G226" s="3">
        <v>3</v>
      </c>
      <c r="H226" s="3">
        <v>421</v>
      </c>
      <c r="I226" s="3">
        <v>0</v>
      </c>
      <c r="J226" s="3">
        <v>421</v>
      </c>
      <c r="K226" s="4">
        <v>7.000000000000001E-4</v>
      </c>
      <c r="L226" s="3">
        <f t="shared" si="3"/>
        <v>140.33333333333334</v>
      </c>
    </row>
    <row r="227" spans="1:12" x14ac:dyDescent="0.25">
      <c r="A227" s="5" t="s">
        <v>153</v>
      </c>
      <c r="B227" s="5" t="s">
        <v>295</v>
      </c>
      <c r="C227" s="5" t="s">
        <v>296</v>
      </c>
      <c r="D227" s="6">
        <v>0</v>
      </c>
      <c r="E227" s="6">
        <v>1</v>
      </c>
      <c r="F227" s="6">
        <v>0</v>
      </c>
      <c r="G227" s="6">
        <v>1</v>
      </c>
      <c r="H227" s="6">
        <v>0</v>
      </c>
      <c r="I227" s="6">
        <v>0</v>
      </c>
      <c r="J227" s="6">
        <v>0</v>
      </c>
      <c r="K227" s="7">
        <v>1</v>
      </c>
      <c r="L227" s="6">
        <f t="shared" si="3"/>
        <v>0</v>
      </c>
    </row>
    <row r="228" spans="1:12" x14ac:dyDescent="0.25">
      <c r="A228" s="2" t="s">
        <v>153</v>
      </c>
      <c r="B228" s="2" t="s">
        <v>297</v>
      </c>
      <c r="C228" s="2" t="s">
        <v>298</v>
      </c>
      <c r="D228" s="3">
        <v>0</v>
      </c>
      <c r="E228" s="3">
        <v>2</v>
      </c>
      <c r="F228" s="3">
        <v>0</v>
      </c>
      <c r="G228" s="3">
        <v>2</v>
      </c>
      <c r="H228" s="3">
        <v>0</v>
      </c>
      <c r="I228" s="3">
        <v>0</v>
      </c>
      <c r="J228" s="3">
        <v>0</v>
      </c>
      <c r="K228" s="4">
        <v>0</v>
      </c>
      <c r="L228" s="3">
        <f t="shared" si="3"/>
        <v>0</v>
      </c>
    </row>
    <row r="229" spans="1:12" x14ac:dyDescent="0.25">
      <c r="A229" s="5" t="s">
        <v>153</v>
      </c>
      <c r="B229" s="5" t="s">
        <v>299</v>
      </c>
      <c r="C229" s="5" t="s">
        <v>296</v>
      </c>
      <c r="D229" s="6">
        <v>0</v>
      </c>
      <c r="E229" s="6">
        <v>1</v>
      </c>
      <c r="F229" s="6">
        <v>0</v>
      </c>
      <c r="G229" s="6">
        <v>1</v>
      </c>
      <c r="H229" s="6">
        <v>0</v>
      </c>
      <c r="I229" s="6">
        <v>0</v>
      </c>
      <c r="J229" s="6">
        <v>0</v>
      </c>
      <c r="K229" s="7">
        <v>0</v>
      </c>
      <c r="L229" s="6">
        <f t="shared" si="3"/>
        <v>0</v>
      </c>
    </row>
    <row r="230" spans="1:12" x14ac:dyDescent="0.25">
      <c r="A230" s="2" t="s">
        <v>153</v>
      </c>
      <c r="B230" s="2" t="s">
        <v>300</v>
      </c>
      <c r="C230" s="2" t="s">
        <v>296</v>
      </c>
      <c r="D230" s="3">
        <v>0</v>
      </c>
      <c r="E230" s="3">
        <v>1</v>
      </c>
      <c r="F230" s="3">
        <v>0</v>
      </c>
      <c r="G230" s="3">
        <v>1</v>
      </c>
      <c r="H230" s="3">
        <v>0</v>
      </c>
      <c r="I230" s="3">
        <v>0</v>
      </c>
      <c r="J230" s="3">
        <v>0</v>
      </c>
      <c r="K230" s="4">
        <v>0</v>
      </c>
      <c r="L230" s="3">
        <f t="shared" si="3"/>
        <v>0</v>
      </c>
    </row>
    <row r="231" spans="1:12" x14ac:dyDescent="0.25">
      <c r="A231" s="5" t="s">
        <v>153</v>
      </c>
      <c r="B231" s="5" t="s">
        <v>301</v>
      </c>
      <c r="C231" s="5" t="s">
        <v>302</v>
      </c>
      <c r="D231" s="6">
        <v>135</v>
      </c>
      <c r="E231" s="6">
        <v>61</v>
      </c>
      <c r="F231" s="6">
        <v>9</v>
      </c>
      <c r="G231" s="6">
        <v>205</v>
      </c>
      <c r="H231" s="6">
        <v>4310008</v>
      </c>
      <c r="I231" s="6">
        <v>1044250</v>
      </c>
      <c r="J231" s="6">
        <v>5354258</v>
      </c>
      <c r="K231" s="7">
        <v>2.5100000000000001E-2</v>
      </c>
      <c r="L231" s="6">
        <f t="shared" si="3"/>
        <v>26118.331707317073</v>
      </c>
    </row>
    <row r="232" spans="1:12" x14ac:dyDescent="0.25">
      <c r="A232" s="2" t="s">
        <v>153</v>
      </c>
      <c r="B232" s="2" t="s">
        <v>303</v>
      </c>
      <c r="C232" s="2" t="s">
        <v>304</v>
      </c>
      <c r="D232" s="3">
        <v>5285</v>
      </c>
      <c r="E232" s="3">
        <v>449</v>
      </c>
      <c r="F232" s="3">
        <v>778</v>
      </c>
      <c r="G232" s="3">
        <v>6512</v>
      </c>
      <c r="H232" s="3">
        <v>250709436</v>
      </c>
      <c r="I232" s="3">
        <v>1000185854</v>
      </c>
      <c r="J232" s="3">
        <v>1250895290</v>
      </c>
      <c r="K232" s="4">
        <v>0.68940000000000001</v>
      </c>
      <c r="L232" s="3">
        <f t="shared" si="3"/>
        <v>192090.80006142505</v>
      </c>
    </row>
    <row r="233" spans="1:12" x14ac:dyDescent="0.25">
      <c r="A233" s="5" t="s">
        <v>153</v>
      </c>
      <c r="B233" s="5" t="s">
        <v>297</v>
      </c>
      <c r="C233" s="5" t="s">
        <v>263</v>
      </c>
      <c r="D233" s="6">
        <v>0</v>
      </c>
      <c r="E233" s="6">
        <v>2</v>
      </c>
      <c r="F233" s="6">
        <v>0</v>
      </c>
      <c r="G233" s="6">
        <v>2</v>
      </c>
      <c r="H233" s="6">
        <v>0</v>
      </c>
      <c r="I233" s="6">
        <v>0</v>
      </c>
      <c r="J233" s="6">
        <v>0</v>
      </c>
      <c r="K233" s="7">
        <v>0</v>
      </c>
      <c r="L233" s="6">
        <f t="shared" si="3"/>
        <v>0</v>
      </c>
    </row>
    <row r="234" spans="1:12" x14ac:dyDescent="0.25">
      <c r="A234" s="2" t="s">
        <v>153</v>
      </c>
      <c r="B234" s="2" t="s">
        <v>154</v>
      </c>
      <c r="C234" s="2" t="s">
        <v>305</v>
      </c>
      <c r="D234" s="3">
        <v>22</v>
      </c>
      <c r="E234" s="3">
        <v>9</v>
      </c>
      <c r="F234" s="3">
        <v>0</v>
      </c>
      <c r="G234" s="3">
        <v>31</v>
      </c>
      <c r="H234" s="3">
        <v>732</v>
      </c>
      <c r="I234" s="3">
        <v>0</v>
      </c>
      <c r="J234" s="3">
        <v>732</v>
      </c>
      <c r="K234" s="4">
        <v>7.5399999999999998E-3</v>
      </c>
      <c r="L234" s="3">
        <f t="shared" si="3"/>
        <v>23.612903225806452</v>
      </c>
    </row>
    <row r="235" spans="1:12" x14ac:dyDescent="0.25">
      <c r="A235" s="5" t="s">
        <v>153</v>
      </c>
      <c r="B235" s="5" t="s">
        <v>295</v>
      </c>
      <c r="C235" s="5" t="s">
        <v>204</v>
      </c>
      <c r="D235" s="6">
        <v>0</v>
      </c>
      <c r="E235" s="6">
        <v>1</v>
      </c>
      <c r="F235" s="6">
        <v>0</v>
      </c>
      <c r="G235" s="6">
        <v>1</v>
      </c>
      <c r="H235" s="6">
        <v>0</v>
      </c>
      <c r="I235" s="6">
        <v>0</v>
      </c>
      <c r="J235" s="6">
        <v>0</v>
      </c>
      <c r="K235" s="7">
        <v>1</v>
      </c>
      <c r="L235" s="6">
        <f t="shared" si="3"/>
        <v>0</v>
      </c>
    </row>
    <row r="236" spans="1:12" x14ac:dyDescent="0.25">
      <c r="A236" s="2" t="s">
        <v>153</v>
      </c>
      <c r="B236" s="2" t="s">
        <v>294</v>
      </c>
      <c r="C236" s="2" t="s">
        <v>204</v>
      </c>
      <c r="D236" s="3">
        <v>1</v>
      </c>
      <c r="E236" s="3">
        <v>2</v>
      </c>
      <c r="F236" s="3">
        <v>0</v>
      </c>
      <c r="G236" s="3">
        <v>3</v>
      </c>
      <c r="H236" s="3">
        <v>421</v>
      </c>
      <c r="I236" s="3">
        <v>0</v>
      </c>
      <c r="J236" s="3">
        <v>421</v>
      </c>
      <c r="K236" s="4">
        <v>7.000000000000001E-4</v>
      </c>
      <c r="L236" s="3">
        <f t="shared" si="3"/>
        <v>140.33333333333334</v>
      </c>
    </row>
    <row r="237" spans="1:12" x14ac:dyDescent="0.25">
      <c r="A237" s="5" t="s">
        <v>153</v>
      </c>
      <c r="B237" s="5" t="s">
        <v>299</v>
      </c>
      <c r="C237" s="5" t="s">
        <v>263</v>
      </c>
      <c r="D237" s="6">
        <v>0</v>
      </c>
      <c r="E237" s="6">
        <v>1</v>
      </c>
      <c r="F237" s="6">
        <v>0</v>
      </c>
      <c r="G237" s="6">
        <v>1</v>
      </c>
      <c r="H237" s="6">
        <v>0</v>
      </c>
      <c r="I237" s="6">
        <v>0</v>
      </c>
      <c r="J237" s="6">
        <v>0</v>
      </c>
      <c r="K237" s="7">
        <v>0</v>
      </c>
      <c r="L237" s="6">
        <f t="shared" si="3"/>
        <v>0</v>
      </c>
    </row>
    <row r="238" spans="1:12" x14ac:dyDescent="0.25">
      <c r="A238" s="2" t="s">
        <v>153</v>
      </c>
      <c r="B238" s="2" t="s">
        <v>300</v>
      </c>
      <c r="C238" s="2" t="s">
        <v>204</v>
      </c>
      <c r="D238" s="3">
        <v>0</v>
      </c>
      <c r="E238" s="3">
        <v>1</v>
      </c>
      <c r="F238" s="3">
        <v>0</v>
      </c>
      <c r="G238" s="3">
        <v>1</v>
      </c>
      <c r="H238" s="3">
        <v>0</v>
      </c>
      <c r="I238" s="3">
        <v>0</v>
      </c>
      <c r="J238" s="3">
        <v>0</v>
      </c>
      <c r="K238" s="4">
        <v>0</v>
      </c>
      <c r="L238" s="3">
        <f t="shared" si="3"/>
        <v>0</v>
      </c>
    </row>
    <row r="239" spans="1:12" x14ac:dyDescent="0.25">
      <c r="A239" s="5" t="s">
        <v>153</v>
      </c>
      <c r="B239" s="5" t="s">
        <v>301</v>
      </c>
      <c r="C239" s="5" t="s">
        <v>283</v>
      </c>
      <c r="D239" s="6">
        <v>138</v>
      </c>
      <c r="E239" s="6">
        <v>60</v>
      </c>
      <c r="F239" s="6">
        <v>9</v>
      </c>
      <c r="G239" s="6">
        <v>207</v>
      </c>
      <c r="H239" s="6">
        <v>4383414</v>
      </c>
      <c r="I239" s="6">
        <v>1065591</v>
      </c>
      <c r="J239" s="6">
        <v>5449005</v>
      </c>
      <c r="K239" s="7">
        <v>2.4899999999999999E-2</v>
      </c>
      <c r="L239" s="6">
        <f t="shared" si="3"/>
        <v>26323.695652173912</v>
      </c>
    </row>
    <row r="240" spans="1:12" x14ac:dyDescent="0.25">
      <c r="A240" s="2" t="s">
        <v>153</v>
      </c>
      <c r="B240" s="2" t="s">
        <v>303</v>
      </c>
      <c r="C240" s="2" t="s">
        <v>263</v>
      </c>
      <c r="D240" s="3">
        <v>6023</v>
      </c>
      <c r="E240" s="3">
        <v>635</v>
      </c>
      <c r="F240" s="3">
        <v>575</v>
      </c>
      <c r="G240" s="3">
        <v>7233</v>
      </c>
      <c r="H240" s="3">
        <v>250709436</v>
      </c>
      <c r="I240" s="3">
        <v>1000185854</v>
      </c>
      <c r="J240" s="3">
        <v>1250895290</v>
      </c>
      <c r="K240" s="4">
        <v>0.68940000000000001</v>
      </c>
      <c r="L240" s="3">
        <f t="shared" si="3"/>
        <v>172942.80243329186</v>
      </c>
    </row>
    <row r="241" spans="1:12" x14ac:dyDescent="0.25">
      <c r="A241" s="5" t="s">
        <v>153</v>
      </c>
      <c r="B241" s="5" t="s">
        <v>301</v>
      </c>
      <c r="C241" s="5" t="s">
        <v>283</v>
      </c>
      <c r="D241" s="6">
        <v>220</v>
      </c>
      <c r="E241" s="6">
        <v>60</v>
      </c>
      <c r="F241" s="6">
        <v>8</v>
      </c>
      <c r="G241" s="6">
        <v>288</v>
      </c>
      <c r="H241" s="6">
        <v>4383414</v>
      </c>
      <c r="I241" s="6">
        <v>1065591</v>
      </c>
      <c r="J241" s="6">
        <v>5449005</v>
      </c>
      <c r="K241" s="7">
        <v>2.4899999999999999E-2</v>
      </c>
      <c r="L241" s="6">
        <f t="shared" si="3"/>
        <v>18920.15625</v>
      </c>
    </row>
    <row r="242" spans="1:12" x14ac:dyDescent="0.25">
      <c r="A242" s="2" t="s">
        <v>153</v>
      </c>
      <c r="B242" s="2" t="s">
        <v>295</v>
      </c>
      <c r="C242" s="2" t="s">
        <v>197</v>
      </c>
      <c r="D242" s="3">
        <v>0</v>
      </c>
      <c r="E242" s="3">
        <v>1</v>
      </c>
      <c r="F242" s="3">
        <v>0</v>
      </c>
      <c r="G242" s="3">
        <v>1</v>
      </c>
      <c r="H242" s="3">
        <v>0</v>
      </c>
      <c r="I242" s="3">
        <v>0</v>
      </c>
      <c r="J242" s="3">
        <v>0</v>
      </c>
      <c r="K242" s="4">
        <v>1</v>
      </c>
      <c r="L242" s="3">
        <f t="shared" si="3"/>
        <v>0</v>
      </c>
    </row>
    <row r="243" spans="1:12" x14ac:dyDescent="0.25">
      <c r="A243" s="5" t="s">
        <v>153</v>
      </c>
      <c r="B243" s="5" t="s">
        <v>297</v>
      </c>
      <c r="C243" s="5" t="s">
        <v>283</v>
      </c>
      <c r="D243" s="6">
        <v>0</v>
      </c>
      <c r="E243" s="6">
        <v>2</v>
      </c>
      <c r="F243" s="6">
        <v>0</v>
      </c>
      <c r="G243" s="6">
        <v>2</v>
      </c>
      <c r="H243" s="6">
        <v>32706674</v>
      </c>
      <c r="I243" s="6">
        <v>0</v>
      </c>
      <c r="J243" s="6">
        <v>32706674</v>
      </c>
      <c r="K243" s="7">
        <v>1</v>
      </c>
      <c r="L243" s="6">
        <f t="shared" si="3"/>
        <v>16353337</v>
      </c>
    </row>
    <row r="244" spans="1:12" x14ac:dyDescent="0.25">
      <c r="A244" s="2" t="s">
        <v>153</v>
      </c>
      <c r="B244" s="2" t="s">
        <v>300</v>
      </c>
      <c r="C244" s="2" t="s">
        <v>197</v>
      </c>
      <c r="D244" s="3">
        <v>0</v>
      </c>
      <c r="E244" s="3">
        <v>1</v>
      </c>
      <c r="F244" s="3">
        <v>0</v>
      </c>
      <c r="G244" s="3">
        <v>1</v>
      </c>
      <c r="H244" s="3">
        <v>0</v>
      </c>
      <c r="I244" s="3">
        <v>0</v>
      </c>
      <c r="J244" s="3">
        <v>0</v>
      </c>
      <c r="K244" s="4">
        <v>0</v>
      </c>
      <c r="L244" s="3">
        <f t="shared" si="3"/>
        <v>0</v>
      </c>
    </row>
    <row r="245" spans="1:12" x14ac:dyDescent="0.25">
      <c r="A245" s="5" t="s">
        <v>153</v>
      </c>
      <c r="B245" s="5" t="s">
        <v>294</v>
      </c>
      <c r="C245" s="5" t="s">
        <v>197</v>
      </c>
      <c r="D245" s="6">
        <v>1</v>
      </c>
      <c r="E245" s="6">
        <v>2</v>
      </c>
      <c r="F245" s="6">
        <v>0</v>
      </c>
      <c r="G245" s="6">
        <v>3</v>
      </c>
      <c r="H245" s="6">
        <v>421</v>
      </c>
      <c r="I245" s="6">
        <v>0</v>
      </c>
      <c r="J245" s="6">
        <v>421</v>
      </c>
      <c r="K245" s="7">
        <v>7.000000000000001E-4</v>
      </c>
      <c r="L245" s="6">
        <f t="shared" si="3"/>
        <v>140.33333333333334</v>
      </c>
    </row>
    <row r="246" spans="1:12" x14ac:dyDescent="0.25">
      <c r="A246" s="2" t="s">
        <v>153</v>
      </c>
      <c r="B246" s="2" t="s">
        <v>154</v>
      </c>
      <c r="C246" s="2" t="s">
        <v>306</v>
      </c>
      <c r="D246" s="3">
        <v>22</v>
      </c>
      <c r="E246" s="3">
        <v>9</v>
      </c>
      <c r="F246" s="3">
        <v>0</v>
      </c>
      <c r="G246" s="3">
        <v>31</v>
      </c>
      <c r="H246" s="3">
        <v>731</v>
      </c>
      <c r="I246" s="3">
        <v>0</v>
      </c>
      <c r="J246" s="3">
        <v>731</v>
      </c>
      <c r="K246" s="4">
        <v>7.4999999999999997E-3</v>
      </c>
      <c r="L246" s="3">
        <f t="shared" si="3"/>
        <v>23.580645161290324</v>
      </c>
    </row>
    <row r="247" spans="1:12" x14ac:dyDescent="0.25">
      <c r="A247" s="5" t="s">
        <v>153</v>
      </c>
      <c r="B247" s="5" t="s">
        <v>299</v>
      </c>
      <c r="C247" s="5" t="s">
        <v>197</v>
      </c>
      <c r="D247" s="6">
        <v>0</v>
      </c>
      <c r="E247" s="6">
        <v>1</v>
      </c>
      <c r="F247" s="6">
        <v>0</v>
      </c>
      <c r="G247" s="6">
        <v>1</v>
      </c>
      <c r="H247" s="6">
        <v>0</v>
      </c>
      <c r="I247" s="6">
        <v>0</v>
      </c>
      <c r="J247" s="6">
        <v>0</v>
      </c>
      <c r="K247" s="7">
        <v>1</v>
      </c>
      <c r="L247" s="6">
        <f t="shared" si="3"/>
        <v>0</v>
      </c>
    </row>
    <row r="248" spans="1:12" x14ac:dyDescent="0.25">
      <c r="A248" s="2" t="s">
        <v>153</v>
      </c>
      <c r="B248" s="2" t="s">
        <v>303</v>
      </c>
      <c r="C248" s="2" t="s">
        <v>283</v>
      </c>
      <c r="D248" s="3">
        <v>9150</v>
      </c>
      <c r="E248" s="3">
        <v>452</v>
      </c>
      <c r="F248" s="3">
        <v>993</v>
      </c>
      <c r="G248" s="3">
        <v>10595</v>
      </c>
      <c r="H248" s="3">
        <v>250679709</v>
      </c>
      <c r="I248" s="3">
        <v>999701983</v>
      </c>
      <c r="J248" s="3">
        <v>1250381692</v>
      </c>
      <c r="K248" s="4">
        <v>0.68909999999999993</v>
      </c>
      <c r="L248" s="3">
        <f t="shared" si="3"/>
        <v>118016.20500235961</v>
      </c>
    </row>
    <row r="249" spans="1:12" x14ac:dyDescent="0.25">
      <c r="A249" s="5" t="s">
        <v>153</v>
      </c>
      <c r="B249" s="5" t="s">
        <v>297</v>
      </c>
      <c r="C249" s="5" t="s">
        <v>188</v>
      </c>
      <c r="D249" s="6">
        <v>0</v>
      </c>
      <c r="E249" s="6">
        <v>2</v>
      </c>
      <c r="F249" s="6">
        <v>0</v>
      </c>
      <c r="G249" s="6">
        <v>2</v>
      </c>
      <c r="H249" s="6">
        <v>0</v>
      </c>
      <c r="I249" s="6">
        <v>0</v>
      </c>
      <c r="J249" s="6">
        <v>0</v>
      </c>
      <c r="K249" s="7">
        <v>0</v>
      </c>
      <c r="L249" s="6">
        <f t="shared" si="3"/>
        <v>0</v>
      </c>
    </row>
    <row r="250" spans="1:12" x14ac:dyDescent="0.25">
      <c r="A250" s="2" t="s">
        <v>153</v>
      </c>
      <c r="B250" s="2" t="s">
        <v>301</v>
      </c>
      <c r="C250" s="2" t="s">
        <v>188</v>
      </c>
      <c r="D250" s="3">
        <v>250</v>
      </c>
      <c r="E250" s="3">
        <v>59</v>
      </c>
      <c r="F250" s="3">
        <v>14</v>
      </c>
      <c r="G250" s="3">
        <v>323</v>
      </c>
      <c r="H250" s="3">
        <v>4383194</v>
      </c>
      <c r="I250" s="3">
        <v>1063437</v>
      </c>
      <c r="J250" s="3">
        <v>5446631</v>
      </c>
      <c r="K250" s="4">
        <v>2.4899999999999999E-2</v>
      </c>
      <c r="L250" s="3">
        <f t="shared" si="3"/>
        <v>16862.6346749226</v>
      </c>
    </row>
    <row r="251" spans="1:12" x14ac:dyDescent="0.25">
      <c r="A251" s="5" t="s">
        <v>153</v>
      </c>
      <c r="B251" s="5" t="s">
        <v>154</v>
      </c>
      <c r="C251" s="5" t="s">
        <v>199</v>
      </c>
      <c r="D251" s="6">
        <v>21</v>
      </c>
      <c r="E251" s="6">
        <v>10</v>
      </c>
      <c r="F251" s="6">
        <v>0</v>
      </c>
      <c r="G251" s="6">
        <v>31</v>
      </c>
      <c r="H251" s="6">
        <v>731</v>
      </c>
      <c r="I251" s="6">
        <v>0</v>
      </c>
      <c r="J251" s="6">
        <v>731</v>
      </c>
      <c r="K251" s="7">
        <v>7.4999999999999997E-3</v>
      </c>
      <c r="L251" s="6">
        <f t="shared" si="3"/>
        <v>23.580645161290324</v>
      </c>
    </row>
    <row r="252" spans="1:12" x14ac:dyDescent="0.25">
      <c r="A252" s="2" t="s">
        <v>153</v>
      </c>
      <c r="B252" s="2" t="s">
        <v>299</v>
      </c>
      <c r="C252" s="2" t="s">
        <v>199</v>
      </c>
      <c r="D252" s="3">
        <v>0</v>
      </c>
      <c r="E252" s="3">
        <v>1</v>
      </c>
      <c r="F252" s="3">
        <v>0</v>
      </c>
      <c r="G252" s="3">
        <v>1</v>
      </c>
      <c r="H252" s="3">
        <v>0</v>
      </c>
      <c r="I252" s="3">
        <v>0</v>
      </c>
      <c r="J252" s="3">
        <v>0</v>
      </c>
      <c r="K252" s="4">
        <v>0</v>
      </c>
      <c r="L252" s="3">
        <f t="shared" si="3"/>
        <v>0</v>
      </c>
    </row>
    <row r="253" spans="1:12" x14ac:dyDescent="0.25">
      <c r="A253" s="5" t="s">
        <v>153</v>
      </c>
      <c r="B253" s="5" t="s">
        <v>295</v>
      </c>
      <c r="C253" s="5" t="s">
        <v>199</v>
      </c>
      <c r="D253" s="6">
        <v>0</v>
      </c>
      <c r="E253" s="6">
        <v>1</v>
      </c>
      <c r="F253" s="6">
        <v>0</v>
      </c>
      <c r="G253" s="6">
        <v>1</v>
      </c>
      <c r="H253" s="6">
        <v>0</v>
      </c>
      <c r="I253" s="6">
        <v>0</v>
      </c>
      <c r="J253" s="6">
        <v>0</v>
      </c>
      <c r="K253" s="7">
        <v>0</v>
      </c>
      <c r="L253" s="6">
        <f t="shared" si="3"/>
        <v>0</v>
      </c>
    </row>
    <row r="254" spans="1:12" x14ac:dyDescent="0.25">
      <c r="A254" s="2" t="s">
        <v>153</v>
      </c>
      <c r="B254" s="2" t="s">
        <v>300</v>
      </c>
      <c r="C254" s="2" t="s">
        <v>199</v>
      </c>
      <c r="D254" s="3">
        <v>0</v>
      </c>
      <c r="E254" s="3">
        <v>1</v>
      </c>
      <c r="F254" s="3">
        <v>0</v>
      </c>
      <c r="G254" s="3">
        <v>1</v>
      </c>
      <c r="H254" s="3">
        <v>0</v>
      </c>
      <c r="I254" s="3">
        <v>0</v>
      </c>
      <c r="J254" s="3">
        <v>0</v>
      </c>
      <c r="K254" s="4">
        <v>0</v>
      </c>
      <c r="L254" s="3">
        <f t="shared" si="3"/>
        <v>0</v>
      </c>
    </row>
    <row r="255" spans="1:12" x14ac:dyDescent="0.25">
      <c r="A255" s="5" t="s">
        <v>153</v>
      </c>
      <c r="B255" s="5" t="s">
        <v>294</v>
      </c>
      <c r="C255" s="5" t="s">
        <v>260</v>
      </c>
      <c r="D255" s="6">
        <v>1</v>
      </c>
      <c r="E255" s="6">
        <v>2</v>
      </c>
      <c r="F255" s="6">
        <v>0</v>
      </c>
      <c r="G255" s="6">
        <v>3</v>
      </c>
      <c r="H255" s="6">
        <v>421</v>
      </c>
      <c r="I255" s="6">
        <v>0</v>
      </c>
      <c r="J255" s="6">
        <v>421</v>
      </c>
      <c r="K255" s="7">
        <v>7.000000000000001E-4</v>
      </c>
      <c r="L255" s="6">
        <f t="shared" si="3"/>
        <v>140.33333333333334</v>
      </c>
    </row>
    <row r="256" spans="1:12" x14ac:dyDescent="0.25">
      <c r="A256" s="2" t="s">
        <v>153</v>
      </c>
      <c r="B256" s="2" t="s">
        <v>303</v>
      </c>
      <c r="C256" s="2" t="s">
        <v>188</v>
      </c>
      <c r="D256" s="3">
        <v>20735</v>
      </c>
      <c r="E256" s="3">
        <v>528</v>
      </c>
      <c r="F256" s="3">
        <v>1108</v>
      </c>
      <c r="G256" s="3">
        <v>22371</v>
      </c>
      <c r="H256" s="3">
        <v>249268674</v>
      </c>
      <c r="I256" s="3">
        <v>993910757</v>
      </c>
      <c r="J256" s="3">
        <v>1243179431</v>
      </c>
      <c r="K256" s="4">
        <v>0.68719562999999995</v>
      </c>
      <c r="L256" s="3">
        <f t="shared" si="3"/>
        <v>55571.026373429886</v>
      </c>
    </row>
    <row r="257" spans="1:12" x14ac:dyDescent="0.25">
      <c r="A257" s="5" t="s">
        <v>153</v>
      </c>
      <c r="B257" s="5" t="s">
        <v>295</v>
      </c>
      <c r="C257" s="5" t="s">
        <v>200</v>
      </c>
      <c r="D257" s="6">
        <v>0</v>
      </c>
      <c r="E257" s="6">
        <v>1</v>
      </c>
      <c r="F257" s="6">
        <v>0</v>
      </c>
      <c r="G257" s="6">
        <v>1</v>
      </c>
      <c r="H257" s="6">
        <v>0</v>
      </c>
      <c r="I257" s="6">
        <v>0</v>
      </c>
      <c r="J257" s="6">
        <v>0</v>
      </c>
      <c r="K257" s="7">
        <v>0</v>
      </c>
      <c r="L257" s="6">
        <f t="shared" si="3"/>
        <v>0</v>
      </c>
    </row>
    <row r="258" spans="1:12" x14ac:dyDescent="0.25">
      <c r="A258" s="2" t="s">
        <v>153</v>
      </c>
      <c r="B258" s="2" t="s">
        <v>294</v>
      </c>
      <c r="C258" s="2" t="s">
        <v>200</v>
      </c>
      <c r="D258" s="3">
        <v>1</v>
      </c>
      <c r="E258" s="3">
        <v>2</v>
      </c>
      <c r="F258" s="3">
        <v>0</v>
      </c>
      <c r="G258" s="3">
        <v>3</v>
      </c>
      <c r="H258" s="3">
        <v>421</v>
      </c>
      <c r="I258" s="3">
        <v>0</v>
      </c>
      <c r="J258" s="3">
        <v>421</v>
      </c>
      <c r="K258" s="4">
        <v>7.000000000000001E-4</v>
      </c>
      <c r="L258" s="3">
        <f t="shared" ref="L258:L321" si="4">IFERROR(J258/G258,"")</f>
        <v>140.33333333333334</v>
      </c>
    </row>
    <row r="259" spans="1:12" x14ac:dyDescent="0.25">
      <c r="A259" s="5" t="s">
        <v>153</v>
      </c>
      <c r="B259" s="5" t="s">
        <v>300</v>
      </c>
      <c r="C259" s="5" t="s">
        <v>200</v>
      </c>
      <c r="D259" s="6">
        <v>0</v>
      </c>
      <c r="E259" s="6">
        <v>1</v>
      </c>
      <c r="F259" s="6">
        <v>0</v>
      </c>
      <c r="G259" s="6">
        <v>1</v>
      </c>
      <c r="H259" s="6">
        <v>0</v>
      </c>
      <c r="I259" s="6">
        <v>0</v>
      </c>
      <c r="J259" s="6">
        <v>0</v>
      </c>
      <c r="K259" s="7">
        <v>0</v>
      </c>
      <c r="L259" s="6">
        <f t="shared" si="4"/>
        <v>0</v>
      </c>
    </row>
    <row r="260" spans="1:12" x14ac:dyDescent="0.25">
      <c r="A260" s="2" t="s">
        <v>153</v>
      </c>
      <c r="B260" s="2" t="s">
        <v>299</v>
      </c>
      <c r="C260" s="2" t="s">
        <v>200</v>
      </c>
      <c r="D260" s="3">
        <v>0</v>
      </c>
      <c r="E260" s="3">
        <v>1</v>
      </c>
      <c r="F260" s="3">
        <v>0</v>
      </c>
      <c r="G260" s="3">
        <v>1</v>
      </c>
      <c r="H260" s="3">
        <v>0</v>
      </c>
      <c r="I260" s="3">
        <v>0</v>
      </c>
      <c r="J260" s="3">
        <v>0</v>
      </c>
      <c r="K260" s="4">
        <v>0</v>
      </c>
      <c r="L260" s="3">
        <f t="shared" si="4"/>
        <v>0</v>
      </c>
    </row>
    <row r="261" spans="1:12" x14ac:dyDescent="0.25">
      <c r="A261" s="5" t="s">
        <v>153</v>
      </c>
      <c r="B261" s="5" t="s">
        <v>154</v>
      </c>
      <c r="C261" s="5" t="s">
        <v>200</v>
      </c>
      <c r="D261" s="6">
        <v>21</v>
      </c>
      <c r="E261" s="6">
        <v>10</v>
      </c>
      <c r="F261" s="6">
        <v>0</v>
      </c>
      <c r="G261" s="6">
        <v>31</v>
      </c>
      <c r="H261" s="6">
        <v>731</v>
      </c>
      <c r="I261" s="6">
        <v>0</v>
      </c>
      <c r="J261" s="6">
        <v>731</v>
      </c>
      <c r="K261" s="7">
        <v>7.4999999999999997E-3</v>
      </c>
      <c r="L261" s="6">
        <f t="shared" si="4"/>
        <v>23.580645161290324</v>
      </c>
    </row>
    <row r="262" spans="1:12" x14ac:dyDescent="0.25">
      <c r="A262" s="2" t="s">
        <v>153</v>
      </c>
      <c r="B262" s="2" t="s">
        <v>297</v>
      </c>
      <c r="C262" s="2" t="s">
        <v>211</v>
      </c>
      <c r="D262" s="3">
        <v>0</v>
      </c>
      <c r="E262" s="3">
        <v>2</v>
      </c>
      <c r="F262" s="3">
        <v>0</v>
      </c>
      <c r="G262" s="3">
        <v>2</v>
      </c>
      <c r="H262" s="3">
        <v>0</v>
      </c>
      <c r="I262" s="3">
        <v>0</v>
      </c>
      <c r="J262" s="3">
        <v>0</v>
      </c>
      <c r="K262" s="4">
        <v>0</v>
      </c>
      <c r="L262" s="3">
        <f t="shared" si="4"/>
        <v>0</v>
      </c>
    </row>
    <row r="263" spans="1:12" x14ac:dyDescent="0.25">
      <c r="A263" s="5" t="s">
        <v>153</v>
      </c>
      <c r="B263" s="5" t="s">
        <v>301</v>
      </c>
      <c r="C263" s="5" t="s">
        <v>211</v>
      </c>
      <c r="D263" s="6">
        <v>241</v>
      </c>
      <c r="E263" s="6">
        <v>59</v>
      </c>
      <c r="F263" s="6">
        <v>17</v>
      </c>
      <c r="G263" s="6">
        <v>317</v>
      </c>
      <c r="H263" s="6">
        <v>4383194</v>
      </c>
      <c r="I263" s="6">
        <v>1063437</v>
      </c>
      <c r="J263" s="6">
        <v>5446631</v>
      </c>
      <c r="K263" s="7">
        <v>2.4899999999999999E-2</v>
      </c>
      <c r="L263" s="6">
        <f t="shared" si="4"/>
        <v>17181.801261829653</v>
      </c>
    </row>
    <row r="264" spans="1:12" x14ac:dyDescent="0.25">
      <c r="A264" s="2" t="s">
        <v>153</v>
      </c>
      <c r="B264" s="2" t="s">
        <v>303</v>
      </c>
      <c r="C264" s="2" t="s">
        <v>188</v>
      </c>
      <c r="D264" s="3">
        <v>20735</v>
      </c>
      <c r="E264" s="3">
        <v>528</v>
      </c>
      <c r="F264" s="3">
        <v>1108</v>
      </c>
      <c r="G264" s="3">
        <v>22371</v>
      </c>
      <c r="H264" s="3">
        <v>249268674</v>
      </c>
      <c r="I264" s="3">
        <v>993910757</v>
      </c>
      <c r="J264" s="3">
        <v>1243179431</v>
      </c>
      <c r="K264" s="4">
        <v>0.68719562999999995</v>
      </c>
      <c r="L264" s="3">
        <f t="shared" si="4"/>
        <v>55571.026373429886</v>
      </c>
    </row>
    <row r="265" spans="1:12" x14ac:dyDescent="0.25">
      <c r="A265" s="5" t="s">
        <v>153</v>
      </c>
      <c r="B265" s="5" t="s">
        <v>300</v>
      </c>
      <c r="C265" s="5" t="s">
        <v>176</v>
      </c>
      <c r="D265" s="6">
        <v>0</v>
      </c>
      <c r="E265" s="6">
        <v>1</v>
      </c>
      <c r="F265" s="6">
        <v>0</v>
      </c>
      <c r="G265" s="6">
        <v>1</v>
      </c>
      <c r="H265" s="6">
        <v>0</v>
      </c>
      <c r="I265" s="6">
        <v>0</v>
      </c>
      <c r="J265" s="6">
        <v>0</v>
      </c>
      <c r="K265" s="7">
        <v>0</v>
      </c>
      <c r="L265" s="6">
        <f t="shared" si="4"/>
        <v>0</v>
      </c>
    </row>
    <row r="266" spans="1:12" x14ac:dyDescent="0.25">
      <c r="A266" s="2" t="s">
        <v>153</v>
      </c>
      <c r="B266" s="2" t="s">
        <v>154</v>
      </c>
      <c r="C266" s="2" t="s">
        <v>176</v>
      </c>
      <c r="D266" s="3">
        <v>20</v>
      </c>
      <c r="E266" s="3">
        <v>11</v>
      </c>
      <c r="F266" s="3">
        <v>0</v>
      </c>
      <c r="G266" s="3">
        <v>31</v>
      </c>
      <c r="H266" s="3">
        <v>731</v>
      </c>
      <c r="I266" s="3">
        <v>0</v>
      </c>
      <c r="J266" s="3">
        <v>731</v>
      </c>
      <c r="K266" s="4">
        <v>7.5300000000000002E-3</v>
      </c>
      <c r="L266" s="3">
        <f t="shared" si="4"/>
        <v>23.580645161290324</v>
      </c>
    </row>
    <row r="267" spans="1:12" x14ac:dyDescent="0.25">
      <c r="A267" s="5" t="s">
        <v>153</v>
      </c>
      <c r="B267" s="5" t="s">
        <v>299</v>
      </c>
      <c r="C267" s="5" t="s">
        <v>176</v>
      </c>
      <c r="D267" s="6">
        <v>0</v>
      </c>
      <c r="E267" s="6">
        <v>1</v>
      </c>
      <c r="F267" s="6">
        <v>0</v>
      </c>
      <c r="G267" s="6">
        <v>1</v>
      </c>
      <c r="H267" s="6">
        <v>0</v>
      </c>
      <c r="I267" s="6">
        <v>0</v>
      </c>
      <c r="J267" s="6">
        <v>0</v>
      </c>
      <c r="K267" s="7">
        <v>0</v>
      </c>
      <c r="L267" s="6">
        <f t="shared" si="4"/>
        <v>0</v>
      </c>
    </row>
    <row r="268" spans="1:12" x14ac:dyDescent="0.25">
      <c r="A268" s="2" t="s">
        <v>153</v>
      </c>
      <c r="B268" s="2" t="s">
        <v>295</v>
      </c>
      <c r="C268" s="2" t="s">
        <v>176</v>
      </c>
      <c r="D268" s="3">
        <v>0</v>
      </c>
      <c r="E268" s="3">
        <v>1</v>
      </c>
      <c r="F268" s="3">
        <v>0</v>
      </c>
      <c r="G268" s="3">
        <v>1</v>
      </c>
      <c r="H268" s="3">
        <v>0</v>
      </c>
      <c r="I268" s="3">
        <v>0</v>
      </c>
      <c r="J268" s="3">
        <v>0</v>
      </c>
      <c r="K268" s="4">
        <v>0</v>
      </c>
      <c r="L268" s="3">
        <f t="shared" si="4"/>
        <v>0</v>
      </c>
    </row>
    <row r="269" spans="1:12" x14ac:dyDescent="0.25">
      <c r="A269" s="5" t="s">
        <v>153</v>
      </c>
      <c r="B269" s="5" t="s">
        <v>297</v>
      </c>
      <c r="C269" s="5" t="s">
        <v>177</v>
      </c>
      <c r="D269" s="6">
        <v>0</v>
      </c>
      <c r="E269" s="6">
        <v>2</v>
      </c>
      <c r="F269" s="6">
        <v>0</v>
      </c>
      <c r="G269" s="6">
        <v>2</v>
      </c>
      <c r="H269" s="6">
        <v>0</v>
      </c>
      <c r="I269" s="6">
        <v>0</v>
      </c>
      <c r="J269" s="6">
        <v>0</v>
      </c>
      <c r="K269" s="7">
        <v>0</v>
      </c>
      <c r="L269" s="6">
        <f t="shared" si="4"/>
        <v>0</v>
      </c>
    </row>
    <row r="270" spans="1:12" x14ac:dyDescent="0.25">
      <c r="A270" s="2" t="s">
        <v>153</v>
      </c>
      <c r="B270" s="2" t="s">
        <v>294</v>
      </c>
      <c r="C270" s="2" t="s">
        <v>176</v>
      </c>
      <c r="D270" s="3">
        <v>1</v>
      </c>
      <c r="E270" s="3">
        <v>2</v>
      </c>
      <c r="F270" s="3">
        <v>0</v>
      </c>
      <c r="G270" s="3">
        <v>3</v>
      </c>
      <c r="H270" s="3">
        <v>421</v>
      </c>
      <c r="I270" s="3">
        <v>0</v>
      </c>
      <c r="J270" s="3">
        <v>421</v>
      </c>
      <c r="K270" s="4">
        <v>6.4999999999999997E-4</v>
      </c>
      <c r="L270" s="3">
        <f t="shared" si="4"/>
        <v>140.33333333333334</v>
      </c>
    </row>
    <row r="271" spans="1:12" x14ac:dyDescent="0.25">
      <c r="A271" s="5" t="s">
        <v>153</v>
      </c>
      <c r="B271" s="5" t="s">
        <v>301</v>
      </c>
      <c r="C271" s="5" t="s">
        <v>267</v>
      </c>
      <c r="D271" s="6">
        <v>248</v>
      </c>
      <c r="E271" s="6">
        <v>63</v>
      </c>
      <c r="F271" s="6">
        <v>9</v>
      </c>
      <c r="G271" s="6">
        <v>320</v>
      </c>
      <c r="H271" s="6">
        <v>4383194</v>
      </c>
      <c r="I271" s="6">
        <v>1063437</v>
      </c>
      <c r="J271" s="6">
        <v>5446631</v>
      </c>
      <c r="K271" s="7">
        <v>2.4879999999999999E-2</v>
      </c>
      <c r="L271" s="6">
        <f t="shared" si="4"/>
        <v>17020.721874999999</v>
      </c>
    </row>
    <row r="272" spans="1:12" x14ac:dyDescent="0.25">
      <c r="A272" s="2" t="s">
        <v>153</v>
      </c>
      <c r="B272" s="2" t="s">
        <v>303</v>
      </c>
      <c r="C272" s="2" t="s">
        <v>307</v>
      </c>
      <c r="D272" s="3">
        <v>45292</v>
      </c>
      <c r="E272" s="3">
        <v>860</v>
      </c>
      <c r="F272" s="3">
        <v>1247</v>
      </c>
      <c r="G272" s="3">
        <v>47399</v>
      </c>
      <c r="H272" s="3">
        <v>327520977</v>
      </c>
      <c r="I272" s="3">
        <v>1305063487</v>
      </c>
      <c r="J272" s="3">
        <v>1632584464</v>
      </c>
      <c r="K272" s="4">
        <v>0.71310000000000007</v>
      </c>
      <c r="L272" s="3">
        <f t="shared" si="4"/>
        <v>34443.436865756659</v>
      </c>
    </row>
    <row r="273" spans="1:12" x14ac:dyDescent="0.25">
      <c r="A273" s="5" t="s">
        <v>153</v>
      </c>
      <c r="B273" s="5" t="s">
        <v>297</v>
      </c>
      <c r="C273" s="5" t="s">
        <v>308</v>
      </c>
      <c r="D273" s="6">
        <v>0</v>
      </c>
      <c r="E273" s="6">
        <v>2</v>
      </c>
      <c r="F273" s="6">
        <v>0</v>
      </c>
      <c r="G273" s="6">
        <v>2</v>
      </c>
      <c r="H273" s="6">
        <v>0</v>
      </c>
      <c r="I273" s="6">
        <v>0</v>
      </c>
      <c r="J273" s="6">
        <v>0</v>
      </c>
      <c r="K273" s="7">
        <v>0</v>
      </c>
      <c r="L273" s="6">
        <f t="shared" si="4"/>
        <v>0</v>
      </c>
    </row>
    <row r="274" spans="1:12" x14ac:dyDescent="0.25">
      <c r="A274" s="2" t="s">
        <v>153</v>
      </c>
      <c r="B274" s="2" t="s">
        <v>295</v>
      </c>
      <c r="C274" s="2" t="s">
        <v>176</v>
      </c>
      <c r="D274" s="3">
        <v>0</v>
      </c>
      <c r="E274" s="3">
        <v>1</v>
      </c>
      <c r="F274" s="3">
        <v>0</v>
      </c>
      <c r="G274" s="3">
        <v>1</v>
      </c>
      <c r="H274" s="3">
        <v>0</v>
      </c>
      <c r="I274" s="3">
        <v>0</v>
      </c>
      <c r="J274" s="3">
        <v>0</v>
      </c>
      <c r="K274" s="4">
        <v>0</v>
      </c>
      <c r="L274" s="3">
        <f t="shared" si="4"/>
        <v>0</v>
      </c>
    </row>
    <row r="275" spans="1:12" x14ac:dyDescent="0.25">
      <c r="A275" s="5" t="s">
        <v>153</v>
      </c>
      <c r="B275" s="5" t="s">
        <v>300</v>
      </c>
      <c r="C275" s="5" t="s">
        <v>177</v>
      </c>
      <c r="D275" s="6">
        <v>0</v>
      </c>
      <c r="E275" s="6">
        <v>1</v>
      </c>
      <c r="F275" s="6">
        <v>0</v>
      </c>
      <c r="G275" s="6">
        <v>1</v>
      </c>
      <c r="H275" s="6">
        <v>0</v>
      </c>
      <c r="I275" s="6">
        <v>0</v>
      </c>
      <c r="J275" s="6">
        <v>0</v>
      </c>
      <c r="K275" s="7">
        <v>0</v>
      </c>
      <c r="L275" s="6">
        <f t="shared" si="4"/>
        <v>0</v>
      </c>
    </row>
    <row r="276" spans="1:12" x14ac:dyDescent="0.25">
      <c r="A276" s="2" t="s">
        <v>153</v>
      </c>
      <c r="B276" s="2" t="s">
        <v>154</v>
      </c>
      <c r="C276" s="2" t="s">
        <v>177</v>
      </c>
      <c r="D276" s="3">
        <v>20</v>
      </c>
      <c r="E276" s="3">
        <v>11</v>
      </c>
      <c r="F276" s="3">
        <v>0</v>
      </c>
      <c r="G276" s="3">
        <v>31</v>
      </c>
      <c r="H276" s="3">
        <v>722</v>
      </c>
      <c r="I276" s="3">
        <v>0</v>
      </c>
      <c r="J276" s="3">
        <v>722</v>
      </c>
      <c r="K276" s="4">
        <v>7.43E-3</v>
      </c>
      <c r="L276" s="3">
        <f t="shared" si="4"/>
        <v>23.29032258064516</v>
      </c>
    </row>
    <row r="277" spans="1:12" x14ac:dyDescent="0.25">
      <c r="A277" s="5" t="s">
        <v>153</v>
      </c>
      <c r="B277" s="5" t="s">
        <v>299</v>
      </c>
      <c r="C277" s="5" t="s">
        <v>176</v>
      </c>
      <c r="D277" s="6">
        <v>0</v>
      </c>
      <c r="E277" s="6">
        <v>1</v>
      </c>
      <c r="F277" s="6">
        <v>0</v>
      </c>
      <c r="G277" s="6">
        <v>1</v>
      </c>
      <c r="H277" s="6">
        <v>0</v>
      </c>
      <c r="I277" s="6">
        <v>0</v>
      </c>
      <c r="J277" s="6">
        <v>0</v>
      </c>
      <c r="K277" s="7">
        <v>0</v>
      </c>
      <c r="L277" s="6">
        <f t="shared" si="4"/>
        <v>0</v>
      </c>
    </row>
    <row r="278" spans="1:12" x14ac:dyDescent="0.25">
      <c r="A278" s="2" t="s">
        <v>153</v>
      </c>
      <c r="B278" s="2" t="s">
        <v>294</v>
      </c>
      <c r="C278" s="2" t="s">
        <v>177</v>
      </c>
      <c r="D278" s="3">
        <v>1</v>
      </c>
      <c r="E278" s="3">
        <v>2</v>
      </c>
      <c r="F278" s="3">
        <v>0</v>
      </c>
      <c r="G278" s="3">
        <v>3</v>
      </c>
      <c r="H278" s="3">
        <v>421</v>
      </c>
      <c r="I278" s="3">
        <v>0</v>
      </c>
      <c r="J278" s="3">
        <v>421</v>
      </c>
      <c r="K278" s="4">
        <v>6.4999999999999997E-4</v>
      </c>
      <c r="L278" s="3">
        <f t="shared" si="4"/>
        <v>140.33333333333334</v>
      </c>
    </row>
    <row r="279" spans="1:12" x14ac:dyDescent="0.25">
      <c r="A279" s="5" t="s">
        <v>153</v>
      </c>
      <c r="B279" s="5" t="s">
        <v>301</v>
      </c>
      <c r="C279" s="5" t="s">
        <v>232</v>
      </c>
      <c r="D279" s="6">
        <v>318</v>
      </c>
      <c r="E279" s="6">
        <v>60</v>
      </c>
      <c r="F279" s="6">
        <v>9</v>
      </c>
      <c r="G279" s="6">
        <v>387</v>
      </c>
      <c r="H279" s="6">
        <v>3983194</v>
      </c>
      <c r="I279" s="6">
        <v>1063437</v>
      </c>
      <c r="J279" s="6">
        <v>5046631</v>
      </c>
      <c r="K279" s="7">
        <v>2.3050000000000001E-2</v>
      </c>
      <c r="L279" s="6">
        <f t="shared" si="4"/>
        <v>13040.390180878552</v>
      </c>
    </row>
    <row r="280" spans="1:12" x14ac:dyDescent="0.25">
      <c r="A280" s="2" t="s">
        <v>153</v>
      </c>
      <c r="B280" s="2" t="s">
        <v>303</v>
      </c>
      <c r="C280" s="2" t="s">
        <v>183</v>
      </c>
      <c r="D280" s="3">
        <v>27749</v>
      </c>
      <c r="E280" s="3">
        <v>657</v>
      </c>
      <c r="F280" s="3">
        <v>1230</v>
      </c>
      <c r="G280" s="3">
        <v>29636</v>
      </c>
      <c r="H280" s="3">
        <v>327430406</v>
      </c>
      <c r="I280" s="3">
        <v>1304701203</v>
      </c>
      <c r="J280" s="3">
        <v>1632131609</v>
      </c>
      <c r="K280" s="4">
        <v>0.71290000000000009</v>
      </c>
      <c r="L280" s="3">
        <f t="shared" si="4"/>
        <v>55072.601194493182</v>
      </c>
    </row>
    <row r="281" spans="1:12" x14ac:dyDescent="0.25">
      <c r="A281" s="5" t="s">
        <v>153</v>
      </c>
      <c r="B281" s="5" t="s">
        <v>297</v>
      </c>
      <c r="C281" s="5" t="s">
        <v>195</v>
      </c>
      <c r="D281" s="6">
        <v>0</v>
      </c>
      <c r="E281" s="6">
        <v>2</v>
      </c>
      <c r="F281" s="6">
        <v>0</v>
      </c>
      <c r="G281" s="6">
        <v>2</v>
      </c>
      <c r="H281" s="6">
        <v>0</v>
      </c>
      <c r="I281" s="6">
        <v>0</v>
      </c>
      <c r="J281" s="6">
        <v>0</v>
      </c>
      <c r="K281" s="7">
        <v>0</v>
      </c>
      <c r="L281" s="6">
        <f t="shared" si="4"/>
        <v>0</v>
      </c>
    </row>
    <row r="282" spans="1:12" x14ac:dyDescent="0.25">
      <c r="A282" s="2" t="s">
        <v>153</v>
      </c>
      <c r="B282" s="2" t="s">
        <v>299</v>
      </c>
      <c r="C282" s="2" t="s">
        <v>309</v>
      </c>
      <c r="D282" s="3">
        <v>0</v>
      </c>
      <c r="E282" s="3">
        <v>1</v>
      </c>
      <c r="F282" s="3">
        <v>0</v>
      </c>
      <c r="G282" s="3">
        <v>1</v>
      </c>
      <c r="H282" s="3">
        <v>0</v>
      </c>
      <c r="I282" s="3">
        <v>0</v>
      </c>
      <c r="J282" s="3">
        <v>0</v>
      </c>
      <c r="K282" s="4">
        <v>0</v>
      </c>
      <c r="L282" s="3">
        <f t="shared" si="4"/>
        <v>0</v>
      </c>
    </row>
    <row r="283" spans="1:12" x14ac:dyDescent="0.25">
      <c r="A283" s="5" t="s">
        <v>153</v>
      </c>
      <c r="B283" s="5" t="s">
        <v>295</v>
      </c>
      <c r="C283" s="5" t="s">
        <v>195</v>
      </c>
      <c r="D283" s="6">
        <v>0</v>
      </c>
      <c r="E283" s="6">
        <v>1</v>
      </c>
      <c r="F283" s="6">
        <v>0</v>
      </c>
      <c r="G283" s="6">
        <v>1</v>
      </c>
      <c r="H283" s="6">
        <v>0</v>
      </c>
      <c r="I283" s="6">
        <v>0</v>
      </c>
      <c r="J283" s="6">
        <v>0</v>
      </c>
      <c r="K283" s="7">
        <v>0</v>
      </c>
      <c r="L283" s="6">
        <f t="shared" si="4"/>
        <v>0</v>
      </c>
    </row>
    <row r="284" spans="1:12" x14ac:dyDescent="0.25">
      <c r="A284" s="2" t="s">
        <v>153</v>
      </c>
      <c r="B284" s="2" t="s">
        <v>154</v>
      </c>
      <c r="C284" s="2" t="s">
        <v>195</v>
      </c>
      <c r="D284" s="3">
        <v>20</v>
      </c>
      <c r="E284" s="3">
        <v>10</v>
      </c>
      <c r="F284" s="3">
        <v>0</v>
      </c>
      <c r="G284" s="3">
        <v>30</v>
      </c>
      <c r="H284" s="3">
        <v>722</v>
      </c>
      <c r="I284" s="3">
        <v>0</v>
      </c>
      <c r="J284" s="3">
        <v>722</v>
      </c>
      <c r="K284" s="4">
        <v>7.43E-3</v>
      </c>
      <c r="L284" s="3">
        <f t="shared" si="4"/>
        <v>24.066666666666666</v>
      </c>
    </row>
    <row r="285" spans="1:12" x14ac:dyDescent="0.25">
      <c r="A285" s="5" t="s">
        <v>153</v>
      </c>
      <c r="B285" s="5" t="s">
        <v>300</v>
      </c>
      <c r="C285" s="5" t="s">
        <v>195</v>
      </c>
      <c r="D285" s="6">
        <v>0</v>
      </c>
      <c r="E285" s="6">
        <v>1</v>
      </c>
      <c r="F285" s="6">
        <v>0</v>
      </c>
      <c r="G285" s="6">
        <v>1</v>
      </c>
      <c r="H285" s="6">
        <v>0</v>
      </c>
      <c r="I285" s="6">
        <v>0</v>
      </c>
      <c r="J285" s="6">
        <v>0</v>
      </c>
      <c r="K285" s="7">
        <v>0</v>
      </c>
      <c r="L285" s="6">
        <f t="shared" si="4"/>
        <v>0</v>
      </c>
    </row>
    <row r="286" spans="1:12" x14ac:dyDescent="0.25">
      <c r="A286" s="2" t="s">
        <v>153</v>
      </c>
      <c r="B286" s="2" t="s">
        <v>294</v>
      </c>
      <c r="C286" s="2" t="s">
        <v>195</v>
      </c>
      <c r="D286" s="3">
        <v>1</v>
      </c>
      <c r="E286" s="3">
        <v>2</v>
      </c>
      <c r="F286" s="3">
        <v>0</v>
      </c>
      <c r="G286" s="3">
        <v>3</v>
      </c>
      <c r="H286" s="3">
        <v>421</v>
      </c>
      <c r="I286" s="3">
        <v>0</v>
      </c>
      <c r="J286" s="3">
        <v>421</v>
      </c>
      <c r="K286" s="4">
        <v>6.4999999999999997E-4</v>
      </c>
      <c r="L286" s="3">
        <f t="shared" si="4"/>
        <v>140.33333333333334</v>
      </c>
    </row>
    <row r="287" spans="1:12" x14ac:dyDescent="0.25">
      <c r="A287" s="5" t="s">
        <v>153</v>
      </c>
      <c r="B287" s="5" t="s">
        <v>301</v>
      </c>
      <c r="C287" s="5" t="s">
        <v>251</v>
      </c>
      <c r="D287" s="6">
        <v>349</v>
      </c>
      <c r="E287" s="6">
        <v>58</v>
      </c>
      <c r="F287" s="6">
        <v>10</v>
      </c>
      <c r="G287" s="6">
        <v>417</v>
      </c>
      <c r="H287" s="6">
        <v>3983194</v>
      </c>
      <c r="I287" s="6">
        <v>1063437</v>
      </c>
      <c r="J287" s="6">
        <v>5046631</v>
      </c>
      <c r="K287" s="7">
        <v>2.3050000000000001E-2</v>
      </c>
      <c r="L287" s="6">
        <f t="shared" si="4"/>
        <v>12102.232613908873</v>
      </c>
    </row>
    <row r="288" spans="1:12" x14ac:dyDescent="0.25">
      <c r="A288" s="2" t="s">
        <v>153</v>
      </c>
      <c r="B288" s="2" t="s">
        <v>303</v>
      </c>
      <c r="C288" s="2" t="s">
        <v>184</v>
      </c>
      <c r="D288" s="3">
        <v>24242</v>
      </c>
      <c r="E288" s="3">
        <v>245</v>
      </c>
      <c r="F288" s="3">
        <v>1543</v>
      </c>
      <c r="G288" s="3">
        <v>26030</v>
      </c>
      <c r="H288" s="3">
        <v>326757513</v>
      </c>
      <c r="I288" s="3">
        <v>1302012184</v>
      </c>
      <c r="J288" s="3">
        <v>1628769697</v>
      </c>
      <c r="K288" s="4">
        <v>0.64593999999999996</v>
      </c>
      <c r="L288" s="3">
        <f t="shared" si="4"/>
        <v>62572.788974260468</v>
      </c>
    </row>
    <row r="289" spans="1:12" x14ac:dyDescent="0.25">
      <c r="A289" s="5" t="s">
        <v>153</v>
      </c>
      <c r="B289" s="5" t="s">
        <v>295</v>
      </c>
      <c r="C289" s="5" t="s">
        <v>48</v>
      </c>
      <c r="D289" s="6">
        <v>0</v>
      </c>
      <c r="E289" s="6">
        <v>1</v>
      </c>
      <c r="F289" s="6">
        <v>0</v>
      </c>
      <c r="G289" s="6">
        <v>1</v>
      </c>
      <c r="H289" s="6">
        <v>0</v>
      </c>
      <c r="I289" s="6">
        <v>0</v>
      </c>
      <c r="J289" s="6">
        <v>0</v>
      </c>
      <c r="K289" s="7">
        <v>0</v>
      </c>
      <c r="L289" s="6">
        <f t="shared" si="4"/>
        <v>0</v>
      </c>
    </row>
    <row r="290" spans="1:12" x14ac:dyDescent="0.25">
      <c r="A290" s="2" t="s">
        <v>153</v>
      </c>
      <c r="B290" s="2" t="s">
        <v>300</v>
      </c>
      <c r="C290" s="2" t="s">
        <v>48</v>
      </c>
      <c r="D290" s="3">
        <v>0</v>
      </c>
      <c r="E290" s="3">
        <v>1</v>
      </c>
      <c r="F290" s="3">
        <v>0</v>
      </c>
      <c r="G290" s="3">
        <v>1</v>
      </c>
      <c r="H290" s="3">
        <v>0</v>
      </c>
      <c r="I290" s="3">
        <v>0</v>
      </c>
      <c r="J290" s="3">
        <v>0</v>
      </c>
      <c r="K290" s="4">
        <v>0</v>
      </c>
      <c r="L290" s="3">
        <f t="shared" si="4"/>
        <v>0</v>
      </c>
    </row>
    <row r="291" spans="1:12" x14ac:dyDescent="0.25">
      <c r="A291" s="5" t="s">
        <v>153</v>
      </c>
      <c r="B291" s="5" t="s">
        <v>299</v>
      </c>
      <c r="C291" s="5" t="s">
        <v>48</v>
      </c>
      <c r="D291" s="6">
        <v>0</v>
      </c>
      <c r="E291" s="6">
        <v>2</v>
      </c>
      <c r="F291" s="6">
        <v>0</v>
      </c>
      <c r="G291" s="6">
        <v>2</v>
      </c>
      <c r="H291" s="6">
        <v>0</v>
      </c>
      <c r="I291" s="6">
        <v>0</v>
      </c>
      <c r="J291" s="6">
        <v>0</v>
      </c>
      <c r="K291" s="7">
        <v>0</v>
      </c>
      <c r="L291" s="6">
        <f t="shared" si="4"/>
        <v>0</v>
      </c>
    </row>
    <row r="292" spans="1:12" x14ac:dyDescent="0.25">
      <c r="A292" s="2" t="s">
        <v>153</v>
      </c>
      <c r="B292" s="2" t="s">
        <v>301</v>
      </c>
      <c r="C292" s="2" t="s">
        <v>103</v>
      </c>
      <c r="D292" s="3">
        <v>515</v>
      </c>
      <c r="E292" s="3">
        <v>55</v>
      </c>
      <c r="F292" s="3">
        <v>8</v>
      </c>
      <c r="G292" s="3">
        <v>578</v>
      </c>
      <c r="H292" s="3">
        <v>3983194</v>
      </c>
      <c r="I292" s="3">
        <v>1063437</v>
      </c>
      <c r="J292" s="3">
        <v>5046631</v>
      </c>
      <c r="K292" s="4">
        <v>2.3050000000000001E-2</v>
      </c>
      <c r="L292" s="3">
        <f t="shared" si="4"/>
        <v>8731.1955017301043</v>
      </c>
    </row>
    <row r="293" spans="1:12" x14ac:dyDescent="0.25">
      <c r="A293" s="5" t="s">
        <v>153</v>
      </c>
      <c r="B293" s="5" t="s">
        <v>294</v>
      </c>
      <c r="C293" s="5" t="s">
        <v>48</v>
      </c>
      <c r="D293" s="6">
        <v>1</v>
      </c>
      <c r="E293" s="6">
        <v>1</v>
      </c>
      <c r="F293" s="6">
        <v>0</v>
      </c>
      <c r="G293" s="6">
        <v>2</v>
      </c>
      <c r="H293" s="6">
        <v>421</v>
      </c>
      <c r="I293" s="6">
        <v>0</v>
      </c>
      <c r="J293" s="6">
        <v>421</v>
      </c>
      <c r="K293" s="7">
        <v>6.4999999999999997E-4</v>
      </c>
      <c r="L293" s="6">
        <f t="shared" si="4"/>
        <v>210.5</v>
      </c>
    </row>
    <row r="294" spans="1:12" x14ac:dyDescent="0.25">
      <c r="A294" s="2" t="s">
        <v>153</v>
      </c>
      <c r="B294" s="2" t="s">
        <v>297</v>
      </c>
      <c r="C294" s="2" t="s">
        <v>48</v>
      </c>
      <c r="D294" s="3">
        <v>0</v>
      </c>
      <c r="E294" s="3">
        <v>2</v>
      </c>
      <c r="F294" s="3">
        <v>0</v>
      </c>
      <c r="G294" s="3">
        <v>2</v>
      </c>
      <c r="H294" s="3">
        <v>0</v>
      </c>
      <c r="I294" s="3">
        <v>0</v>
      </c>
      <c r="J294" s="3">
        <v>0</v>
      </c>
      <c r="K294" s="4">
        <v>0</v>
      </c>
      <c r="L294" s="3">
        <f t="shared" si="4"/>
        <v>0</v>
      </c>
    </row>
    <row r="295" spans="1:12" x14ac:dyDescent="0.25">
      <c r="A295" s="5" t="s">
        <v>153</v>
      </c>
      <c r="B295" s="5" t="s">
        <v>303</v>
      </c>
      <c r="C295" s="5" t="s">
        <v>14</v>
      </c>
      <c r="D295" s="6">
        <v>49354</v>
      </c>
      <c r="E295" s="6">
        <v>532</v>
      </c>
      <c r="F295" s="6">
        <v>1546</v>
      </c>
      <c r="G295" s="6">
        <v>51432</v>
      </c>
      <c r="H295" s="6">
        <v>359113663</v>
      </c>
      <c r="I295" s="6">
        <v>1432340843</v>
      </c>
      <c r="J295" s="6">
        <v>1791454506</v>
      </c>
      <c r="K295" s="7">
        <v>0.71135999999999999</v>
      </c>
      <c r="L295" s="6">
        <f t="shared" si="4"/>
        <v>34831.515515632294</v>
      </c>
    </row>
    <row r="296" spans="1:12" x14ac:dyDescent="0.25">
      <c r="A296" s="2" t="s">
        <v>153</v>
      </c>
      <c r="B296" s="2" t="s">
        <v>154</v>
      </c>
      <c r="C296" s="2" t="s">
        <v>48</v>
      </c>
      <c r="D296" s="3">
        <v>21</v>
      </c>
      <c r="E296" s="3">
        <v>9</v>
      </c>
      <c r="F296" s="3">
        <v>0</v>
      </c>
      <c r="G296" s="3">
        <v>30</v>
      </c>
      <c r="H296" s="3">
        <v>722</v>
      </c>
      <c r="I296" s="3">
        <v>0</v>
      </c>
      <c r="J296" s="3">
        <v>722</v>
      </c>
      <c r="K296" s="4">
        <v>7.43E-3</v>
      </c>
      <c r="L296" s="3">
        <f t="shared" si="4"/>
        <v>24.066666666666666</v>
      </c>
    </row>
    <row r="297" spans="1:12" x14ac:dyDescent="0.25">
      <c r="A297" s="5" t="s">
        <v>97</v>
      </c>
      <c r="B297" s="5" t="s">
        <v>98</v>
      </c>
      <c r="C297" s="5" t="s">
        <v>310</v>
      </c>
      <c r="D297" s="6">
        <v>3505</v>
      </c>
      <c r="E297" s="6">
        <v>1336</v>
      </c>
      <c r="F297" s="6">
        <v>492</v>
      </c>
      <c r="G297" s="6">
        <v>5333</v>
      </c>
      <c r="H297" s="6">
        <v>198163464</v>
      </c>
      <c r="I297" s="6">
        <v>0</v>
      </c>
      <c r="J297" s="6">
        <v>198163464</v>
      </c>
      <c r="K297" s="7">
        <v>0.99690000000000001</v>
      </c>
      <c r="L297" s="6">
        <f t="shared" si="4"/>
        <v>37157.971873242081</v>
      </c>
    </row>
    <row r="298" spans="1:12" x14ac:dyDescent="0.25">
      <c r="A298" s="2" t="s">
        <v>97</v>
      </c>
      <c r="B298" s="2" t="s">
        <v>98</v>
      </c>
      <c r="C298" s="2" t="s">
        <v>311</v>
      </c>
      <c r="D298" s="3">
        <v>9886</v>
      </c>
      <c r="E298" s="3">
        <v>1493</v>
      </c>
      <c r="F298" s="3">
        <v>1453</v>
      </c>
      <c r="G298" s="3">
        <v>12832</v>
      </c>
      <c r="H298" s="3">
        <v>1010286085</v>
      </c>
      <c r="I298" s="3">
        <v>0</v>
      </c>
      <c r="J298" s="3">
        <v>1010286085</v>
      </c>
      <c r="K298" s="4">
        <v>1</v>
      </c>
      <c r="L298" s="3">
        <f t="shared" si="4"/>
        <v>78731.770963216957</v>
      </c>
    </row>
    <row r="299" spans="1:12" x14ac:dyDescent="0.25">
      <c r="A299" s="5" t="s">
        <v>97</v>
      </c>
      <c r="B299" s="5" t="s">
        <v>98</v>
      </c>
      <c r="C299" s="5" t="s">
        <v>311</v>
      </c>
      <c r="D299" s="6">
        <v>9886</v>
      </c>
      <c r="E299" s="6">
        <v>1493</v>
      </c>
      <c r="F299" s="6">
        <v>1453</v>
      </c>
      <c r="G299" s="6">
        <v>12832</v>
      </c>
      <c r="H299" s="6">
        <v>1010286085</v>
      </c>
      <c r="I299" s="6">
        <v>0</v>
      </c>
      <c r="J299" s="6">
        <v>1010286085</v>
      </c>
      <c r="K299" s="7">
        <v>1</v>
      </c>
      <c r="L299" s="6">
        <f t="shared" si="4"/>
        <v>78731.770963216957</v>
      </c>
    </row>
    <row r="300" spans="1:12" x14ac:dyDescent="0.25">
      <c r="A300" s="2" t="s">
        <v>97</v>
      </c>
      <c r="B300" s="2" t="s">
        <v>98</v>
      </c>
      <c r="C300" s="2" t="s">
        <v>260</v>
      </c>
      <c r="D300" s="3">
        <v>62078</v>
      </c>
      <c r="E300" s="3">
        <v>2174</v>
      </c>
      <c r="F300" s="3">
        <v>1721</v>
      </c>
      <c r="G300" s="3">
        <v>65973</v>
      </c>
      <c r="H300" s="3">
        <v>1100513485</v>
      </c>
      <c r="I300" s="3">
        <v>0</v>
      </c>
      <c r="J300" s="3">
        <v>1100513485</v>
      </c>
      <c r="K300" s="4">
        <v>0.97482484999999997</v>
      </c>
      <c r="L300" s="3">
        <f t="shared" si="4"/>
        <v>16681.270898700983</v>
      </c>
    </row>
    <row r="301" spans="1:12" x14ac:dyDescent="0.25">
      <c r="A301" s="5" t="s">
        <v>97</v>
      </c>
      <c r="B301" s="5" t="s">
        <v>98</v>
      </c>
      <c r="C301" s="5" t="s">
        <v>312</v>
      </c>
      <c r="D301" s="6">
        <v>45700</v>
      </c>
      <c r="E301" s="6">
        <v>1728</v>
      </c>
      <c r="F301" s="6">
        <v>333</v>
      </c>
      <c r="G301" s="6">
        <v>47761</v>
      </c>
      <c r="H301" s="6">
        <v>1100513485</v>
      </c>
      <c r="I301" s="6">
        <v>0</v>
      </c>
      <c r="J301" s="6">
        <v>1100513485</v>
      </c>
      <c r="K301" s="7">
        <v>0.97482000000000002</v>
      </c>
      <c r="L301" s="6">
        <f t="shared" si="4"/>
        <v>23042.09470069722</v>
      </c>
    </row>
    <row r="302" spans="1:12" x14ac:dyDescent="0.25">
      <c r="A302" s="2" t="s">
        <v>97</v>
      </c>
      <c r="B302" s="2" t="s">
        <v>98</v>
      </c>
      <c r="C302" s="2" t="s">
        <v>313</v>
      </c>
      <c r="D302" s="3">
        <v>63146</v>
      </c>
      <c r="E302" s="3">
        <v>2460</v>
      </c>
      <c r="F302" s="3">
        <v>0</v>
      </c>
      <c r="G302" s="3">
        <v>65606</v>
      </c>
      <c r="H302" s="3">
        <v>1138106440</v>
      </c>
      <c r="I302" s="3">
        <v>0</v>
      </c>
      <c r="J302" s="3">
        <v>1138106440</v>
      </c>
      <c r="K302" s="4">
        <v>0.99215000000000009</v>
      </c>
      <c r="L302" s="3">
        <f t="shared" si="4"/>
        <v>17347.596866140291</v>
      </c>
    </row>
    <row r="303" spans="1:12" x14ac:dyDescent="0.25">
      <c r="A303" s="5" t="s">
        <v>97</v>
      </c>
      <c r="B303" s="5" t="s">
        <v>98</v>
      </c>
      <c r="C303" s="5" t="s">
        <v>183</v>
      </c>
      <c r="D303" s="6">
        <v>55294</v>
      </c>
      <c r="E303" s="6">
        <v>382</v>
      </c>
      <c r="F303" s="6">
        <v>2014</v>
      </c>
      <c r="G303" s="6">
        <v>57690</v>
      </c>
      <c r="H303" s="6">
        <v>1253847835</v>
      </c>
      <c r="I303" s="6">
        <v>0</v>
      </c>
      <c r="J303" s="6">
        <v>1253847835</v>
      </c>
      <c r="K303" s="7">
        <v>1</v>
      </c>
      <c r="L303" s="6">
        <f t="shared" si="4"/>
        <v>21734.231842607038</v>
      </c>
    </row>
    <row r="304" spans="1:12" x14ac:dyDescent="0.25">
      <c r="A304" s="2" t="s">
        <v>97</v>
      </c>
      <c r="B304" s="2" t="s">
        <v>98</v>
      </c>
      <c r="C304" s="2" t="s">
        <v>20</v>
      </c>
      <c r="D304" s="3">
        <v>68982</v>
      </c>
      <c r="E304" s="3">
        <v>563</v>
      </c>
      <c r="F304" s="3">
        <v>2102</v>
      </c>
      <c r="G304" s="3">
        <v>71647</v>
      </c>
      <c r="H304" s="3">
        <v>1242672854</v>
      </c>
      <c r="I304" s="3">
        <v>0</v>
      </c>
      <c r="J304" s="3">
        <v>1242672854</v>
      </c>
      <c r="K304" s="4">
        <v>0.98685</v>
      </c>
      <c r="L304" s="3">
        <f t="shared" si="4"/>
        <v>17344.380839393136</v>
      </c>
    </row>
    <row r="305" spans="1:12" x14ac:dyDescent="0.25">
      <c r="A305" s="5" t="s">
        <v>97</v>
      </c>
      <c r="B305" s="5" t="s">
        <v>98</v>
      </c>
      <c r="C305" s="5" t="s">
        <v>20</v>
      </c>
      <c r="D305" s="6">
        <v>80033</v>
      </c>
      <c r="E305" s="6">
        <v>904</v>
      </c>
      <c r="F305" s="6">
        <v>1436</v>
      </c>
      <c r="G305" s="6">
        <v>82373</v>
      </c>
      <c r="H305" s="6">
        <v>1246008097</v>
      </c>
      <c r="I305" s="6">
        <v>0</v>
      </c>
      <c r="J305" s="6">
        <v>1246008097</v>
      </c>
      <c r="K305" s="7">
        <v>0.98934</v>
      </c>
      <c r="L305" s="6">
        <f t="shared" si="4"/>
        <v>15126.413958457262</v>
      </c>
    </row>
    <row r="306" spans="1:12" x14ac:dyDescent="0.25">
      <c r="A306" s="2" t="s">
        <v>49</v>
      </c>
      <c r="B306" s="2" t="s">
        <v>50</v>
      </c>
      <c r="C306" s="2" t="s">
        <v>223</v>
      </c>
      <c r="D306" s="3">
        <v>83157</v>
      </c>
      <c r="E306" s="3">
        <v>4100</v>
      </c>
      <c r="F306" s="3">
        <v>6</v>
      </c>
      <c r="G306" s="3">
        <v>87263</v>
      </c>
      <c r="H306" s="3">
        <v>17192658</v>
      </c>
      <c r="I306" s="3">
        <v>987996350</v>
      </c>
      <c r="J306" s="3">
        <v>1005189008</v>
      </c>
      <c r="K306" s="4">
        <v>0.58450000000000002</v>
      </c>
      <c r="L306" s="3">
        <f t="shared" si="4"/>
        <v>11519.074613524632</v>
      </c>
    </row>
    <row r="307" spans="1:12" x14ac:dyDescent="0.25">
      <c r="A307" s="5" t="s">
        <v>49</v>
      </c>
      <c r="B307" s="5" t="s">
        <v>50</v>
      </c>
      <c r="C307" s="5" t="s">
        <v>314</v>
      </c>
      <c r="D307" s="6">
        <v>95576</v>
      </c>
      <c r="E307" s="6">
        <v>3042</v>
      </c>
      <c r="F307" s="6">
        <v>599</v>
      </c>
      <c r="G307" s="6">
        <v>99217</v>
      </c>
      <c r="H307" s="6">
        <v>14031044</v>
      </c>
      <c r="I307" s="6">
        <v>1031246473</v>
      </c>
      <c r="J307" s="6">
        <v>1045277517</v>
      </c>
      <c r="K307" s="7">
        <v>0.60799999999999998</v>
      </c>
      <c r="L307" s="6">
        <f t="shared" si="4"/>
        <v>10535.266305169476</v>
      </c>
    </row>
    <row r="308" spans="1:12" x14ac:dyDescent="0.25">
      <c r="A308" s="2" t="s">
        <v>49</v>
      </c>
      <c r="B308" s="2" t="s">
        <v>50</v>
      </c>
      <c r="C308" s="2" t="s">
        <v>314</v>
      </c>
      <c r="D308" s="3">
        <v>106294</v>
      </c>
      <c r="E308" s="3">
        <v>3049</v>
      </c>
      <c r="F308" s="3">
        <v>656</v>
      </c>
      <c r="G308" s="3">
        <v>109999</v>
      </c>
      <c r="H308" s="3">
        <v>14031044</v>
      </c>
      <c r="I308" s="3">
        <v>995903643</v>
      </c>
      <c r="J308" s="3">
        <v>1009934687</v>
      </c>
      <c r="K308" s="4">
        <v>0.58729999999999993</v>
      </c>
      <c r="L308" s="3">
        <f t="shared" si="4"/>
        <v>9181.3078937081245</v>
      </c>
    </row>
    <row r="309" spans="1:12" x14ac:dyDescent="0.25">
      <c r="A309" s="5" t="s">
        <v>49</v>
      </c>
      <c r="B309" s="5" t="s">
        <v>50</v>
      </c>
      <c r="C309" s="5" t="s">
        <v>217</v>
      </c>
      <c r="D309" s="6">
        <v>116911</v>
      </c>
      <c r="E309" s="6">
        <v>1008</v>
      </c>
      <c r="F309" s="6">
        <v>1645</v>
      </c>
      <c r="G309" s="6">
        <v>119564</v>
      </c>
      <c r="H309" s="6">
        <v>14031044</v>
      </c>
      <c r="I309" s="6">
        <v>1097534498</v>
      </c>
      <c r="J309" s="6">
        <v>1111565542</v>
      </c>
      <c r="K309" s="7">
        <v>0.64638999999999991</v>
      </c>
      <c r="L309" s="6">
        <f t="shared" si="4"/>
        <v>9296.8246462145798</v>
      </c>
    </row>
    <row r="310" spans="1:12" x14ac:dyDescent="0.25">
      <c r="A310" s="2" t="s">
        <v>49</v>
      </c>
      <c r="B310" s="2" t="s">
        <v>50</v>
      </c>
      <c r="C310" s="2" t="s">
        <v>250</v>
      </c>
      <c r="D310" s="3">
        <v>173091</v>
      </c>
      <c r="E310" s="3">
        <v>3569</v>
      </c>
      <c r="F310" s="3">
        <v>927</v>
      </c>
      <c r="G310" s="3">
        <v>177587</v>
      </c>
      <c r="H310" s="3">
        <v>14031044</v>
      </c>
      <c r="I310" s="3">
        <v>1093112629</v>
      </c>
      <c r="J310" s="3">
        <v>1107143673</v>
      </c>
      <c r="K310" s="4">
        <v>0.63564999999999994</v>
      </c>
      <c r="L310" s="3">
        <f t="shared" si="4"/>
        <v>6234.3734226041324</v>
      </c>
    </row>
    <row r="311" spans="1:12" x14ac:dyDescent="0.25">
      <c r="A311" s="5" t="s">
        <v>49</v>
      </c>
      <c r="B311" s="5" t="s">
        <v>50</v>
      </c>
      <c r="C311" s="5" t="s">
        <v>315</v>
      </c>
      <c r="D311" s="6">
        <v>270656</v>
      </c>
      <c r="E311" s="6">
        <v>3585</v>
      </c>
      <c r="F311" s="6">
        <v>1350</v>
      </c>
      <c r="G311" s="6">
        <v>275591</v>
      </c>
      <c r="H311" s="6">
        <v>17679115</v>
      </c>
      <c r="I311" s="6">
        <v>1246339197</v>
      </c>
      <c r="J311" s="6">
        <v>1264018312</v>
      </c>
      <c r="K311" s="7">
        <v>0.59948999999999997</v>
      </c>
      <c r="L311" s="6">
        <f t="shared" si="4"/>
        <v>4586.573262552115</v>
      </c>
    </row>
    <row r="312" spans="1:12" x14ac:dyDescent="0.25">
      <c r="A312" s="2" t="s">
        <v>49</v>
      </c>
      <c r="B312" s="2" t="s">
        <v>50</v>
      </c>
      <c r="C312" s="2" t="s">
        <v>316</v>
      </c>
      <c r="D312" s="3">
        <v>254931</v>
      </c>
      <c r="E312" s="3">
        <v>3384</v>
      </c>
      <c r="F312" s="3">
        <v>1316</v>
      </c>
      <c r="G312" s="3">
        <v>259631</v>
      </c>
      <c r="H312" s="3">
        <v>15393604</v>
      </c>
      <c r="I312" s="3">
        <v>1289380580</v>
      </c>
      <c r="J312" s="3">
        <v>1304774184</v>
      </c>
      <c r="K312" s="4">
        <v>0.64331999999999989</v>
      </c>
      <c r="L312" s="3">
        <f t="shared" si="4"/>
        <v>5025.4945826962112</v>
      </c>
    </row>
    <row r="313" spans="1:12" x14ac:dyDescent="0.25">
      <c r="A313" s="5" t="s">
        <v>49</v>
      </c>
      <c r="B313" s="5" t="s">
        <v>50</v>
      </c>
      <c r="C313" s="5" t="s">
        <v>51</v>
      </c>
      <c r="D313" s="6">
        <v>210311</v>
      </c>
      <c r="E313" s="6">
        <v>2431</v>
      </c>
      <c r="F313" s="6">
        <v>1426</v>
      </c>
      <c r="G313" s="6">
        <v>214168</v>
      </c>
      <c r="H313" s="6">
        <v>14181304</v>
      </c>
      <c r="I313" s="6">
        <v>1249280876</v>
      </c>
      <c r="J313" s="6">
        <v>1263462180</v>
      </c>
      <c r="K313" s="7">
        <v>0.63645000000000007</v>
      </c>
      <c r="L313" s="6">
        <f t="shared" si="4"/>
        <v>5899.3975757349372</v>
      </c>
    </row>
    <row r="314" spans="1:12" x14ac:dyDescent="0.25">
      <c r="A314" s="2" t="s">
        <v>49</v>
      </c>
      <c r="B314" s="2" t="s">
        <v>50</v>
      </c>
      <c r="C314" s="2" t="s">
        <v>51</v>
      </c>
      <c r="D314" s="3">
        <v>210311</v>
      </c>
      <c r="E314" s="3">
        <v>2431</v>
      </c>
      <c r="F314" s="3">
        <v>1426</v>
      </c>
      <c r="G314" s="3">
        <v>214168</v>
      </c>
      <c r="H314" s="3">
        <v>13881804</v>
      </c>
      <c r="I314" s="3">
        <v>1244020550</v>
      </c>
      <c r="J314" s="3">
        <v>1257902354</v>
      </c>
      <c r="K314" s="4">
        <v>0.63594000000000006</v>
      </c>
      <c r="L314" s="3">
        <f t="shared" si="4"/>
        <v>5873.4374603115311</v>
      </c>
    </row>
    <row r="315" spans="1:12" x14ac:dyDescent="0.25">
      <c r="A315" s="5" t="s">
        <v>55</v>
      </c>
      <c r="B315" s="5" t="s">
        <v>56</v>
      </c>
      <c r="C315" s="5" t="s">
        <v>203</v>
      </c>
      <c r="D315" s="6">
        <v>24624</v>
      </c>
      <c r="E315" s="6">
        <v>1102</v>
      </c>
      <c r="F315" s="6">
        <v>54</v>
      </c>
      <c r="G315" s="6">
        <v>25780</v>
      </c>
      <c r="H315" s="6">
        <v>47826019</v>
      </c>
      <c r="I315" s="6">
        <v>570918903</v>
      </c>
      <c r="J315" s="6">
        <v>618744922</v>
      </c>
      <c r="K315" s="7">
        <v>0.627</v>
      </c>
      <c r="L315" s="6">
        <f t="shared" si="4"/>
        <v>24000.966718386346</v>
      </c>
    </row>
    <row r="316" spans="1:12" x14ac:dyDescent="0.25">
      <c r="A316" s="2" t="s">
        <v>55</v>
      </c>
      <c r="B316" s="2" t="s">
        <v>56</v>
      </c>
      <c r="C316" s="2" t="s">
        <v>314</v>
      </c>
      <c r="D316" s="3">
        <v>61456</v>
      </c>
      <c r="E316" s="3">
        <v>463</v>
      </c>
      <c r="F316" s="3">
        <v>468</v>
      </c>
      <c r="G316" s="3">
        <v>62387</v>
      </c>
      <c r="H316" s="3">
        <v>74551453</v>
      </c>
      <c r="I316" s="3">
        <v>662644908</v>
      </c>
      <c r="J316" s="3">
        <v>737196361</v>
      </c>
      <c r="K316" s="4">
        <v>0.67799999999999994</v>
      </c>
      <c r="L316" s="3">
        <f t="shared" si="4"/>
        <v>11816.506018882139</v>
      </c>
    </row>
    <row r="317" spans="1:12" x14ac:dyDescent="0.25">
      <c r="A317" s="5" t="s">
        <v>55</v>
      </c>
      <c r="B317" s="5" t="s">
        <v>56</v>
      </c>
      <c r="C317" s="5" t="s">
        <v>317</v>
      </c>
      <c r="D317" s="6">
        <v>97830</v>
      </c>
      <c r="E317" s="6">
        <v>596</v>
      </c>
      <c r="F317" s="6">
        <v>494</v>
      </c>
      <c r="G317" s="6">
        <v>98920</v>
      </c>
      <c r="H317" s="6">
        <v>90953948</v>
      </c>
      <c r="I317" s="6">
        <v>693699918</v>
      </c>
      <c r="J317" s="6">
        <v>784653866</v>
      </c>
      <c r="K317" s="7">
        <v>0.72170000000000001</v>
      </c>
      <c r="L317" s="6">
        <f t="shared" si="4"/>
        <v>7932.2064900930045</v>
      </c>
    </row>
    <row r="318" spans="1:12" x14ac:dyDescent="0.25">
      <c r="A318" s="2" t="s">
        <v>55</v>
      </c>
      <c r="B318" s="2" t="s">
        <v>56</v>
      </c>
      <c r="C318" s="2" t="s">
        <v>217</v>
      </c>
      <c r="D318" s="3">
        <v>93504</v>
      </c>
      <c r="E318" s="3">
        <v>1007</v>
      </c>
      <c r="F318" s="3">
        <v>507</v>
      </c>
      <c r="G318" s="3">
        <v>95018</v>
      </c>
      <c r="H318" s="3">
        <v>90953948</v>
      </c>
      <c r="I318" s="3">
        <v>698275321</v>
      </c>
      <c r="J318" s="3">
        <v>789229269</v>
      </c>
      <c r="K318" s="4">
        <v>0.72589999999999999</v>
      </c>
      <c r="L318" s="3">
        <f t="shared" si="4"/>
        <v>8306.1027279041864</v>
      </c>
    </row>
    <row r="319" spans="1:12" x14ac:dyDescent="0.25">
      <c r="A319" s="5" t="s">
        <v>55</v>
      </c>
      <c r="B319" s="5" t="s">
        <v>56</v>
      </c>
      <c r="C319" s="5" t="s">
        <v>218</v>
      </c>
      <c r="D319" s="6">
        <v>118704</v>
      </c>
      <c r="E319" s="6">
        <v>529</v>
      </c>
      <c r="F319" s="6">
        <v>679</v>
      </c>
      <c r="G319" s="6">
        <v>119912</v>
      </c>
      <c r="H319" s="6">
        <v>90953948</v>
      </c>
      <c r="I319" s="6">
        <v>667194478</v>
      </c>
      <c r="J319" s="6">
        <v>758148426</v>
      </c>
      <c r="K319" s="7">
        <v>0.69730999999999999</v>
      </c>
      <c r="L319" s="6">
        <f t="shared" si="4"/>
        <v>6322.5400793915542</v>
      </c>
    </row>
    <row r="320" spans="1:12" x14ac:dyDescent="0.25">
      <c r="A320" s="2" t="s">
        <v>55</v>
      </c>
      <c r="B320" s="2" t="s">
        <v>56</v>
      </c>
      <c r="C320" s="2" t="s">
        <v>256</v>
      </c>
      <c r="D320" s="3">
        <v>149788</v>
      </c>
      <c r="E320" s="3">
        <v>594</v>
      </c>
      <c r="F320" s="3">
        <v>672</v>
      </c>
      <c r="G320" s="3">
        <v>151054</v>
      </c>
      <c r="H320" s="3">
        <v>74533453</v>
      </c>
      <c r="I320" s="3">
        <v>660411219</v>
      </c>
      <c r="J320" s="3">
        <v>734944672</v>
      </c>
      <c r="K320" s="4">
        <v>0.71167000000000002</v>
      </c>
      <c r="L320" s="3">
        <f t="shared" si="4"/>
        <v>4865.4432984230807</v>
      </c>
    </row>
    <row r="321" spans="1:12" x14ac:dyDescent="0.25">
      <c r="A321" s="5" t="s">
        <v>55</v>
      </c>
      <c r="B321" s="5" t="s">
        <v>56</v>
      </c>
      <c r="C321" s="5" t="s">
        <v>165</v>
      </c>
      <c r="D321" s="6">
        <v>207383</v>
      </c>
      <c r="E321" s="6">
        <v>693</v>
      </c>
      <c r="F321" s="6">
        <v>626</v>
      </c>
      <c r="G321" s="6">
        <v>208702</v>
      </c>
      <c r="H321" s="6">
        <v>90953523</v>
      </c>
      <c r="I321" s="6">
        <v>622978025</v>
      </c>
      <c r="J321" s="6">
        <v>713931548</v>
      </c>
      <c r="K321" s="7">
        <v>0.71845000000000003</v>
      </c>
      <c r="L321" s="6">
        <f t="shared" si="4"/>
        <v>3420.8179509539918</v>
      </c>
    </row>
    <row r="322" spans="1:12" x14ac:dyDescent="0.25">
      <c r="A322" s="2" t="s">
        <v>55</v>
      </c>
      <c r="B322" s="2" t="s">
        <v>56</v>
      </c>
      <c r="C322" s="2" t="s">
        <v>57</v>
      </c>
      <c r="D322" s="3">
        <v>166959</v>
      </c>
      <c r="E322" s="3">
        <v>391</v>
      </c>
      <c r="F322" s="3">
        <v>965</v>
      </c>
      <c r="G322" s="3">
        <v>168315</v>
      </c>
      <c r="H322" s="3">
        <v>121267700</v>
      </c>
      <c r="I322" s="3">
        <v>829390267</v>
      </c>
      <c r="J322" s="3">
        <v>950657967</v>
      </c>
      <c r="K322" s="4">
        <v>0.71753</v>
      </c>
      <c r="L322" s="3">
        <f t="shared" ref="L322:L385" si="5">IFERROR(J322/G322,"")</f>
        <v>5648.0882096069872</v>
      </c>
    </row>
    <row r="323" spans="1:12" x14ac:dyDescent="0.25">
      <c r="A323" s="5" t="s">
        <v>55</v>
      </c>
      <c r="B323" s="5" t="s">
        <v>56</v>
      </c>
      <c r="C323" s="5" t="s">
        <v>57</v>
      </c>
      <c r="D323" s="6">
        <v>166959</v>
      </c>
      <c r="E323" s="6">
        <v>391</v>
      </c>
      <c r="F323" s="6">
        <v>965</v>
      </c>
      <c r="G323" s="6">
        <v>168315</v>
      </c>
      <c r="H323" s="6">
        <v>121267500</v>
      </c>
      <c r="I323" s="6">
        <v>829154443</v>
      </c>
      <c r="J323" s="6">
        <v>950421943</v>
      </c>
      <c r="K323" s="7">
        <v>0.71855000000000002</v>
      </c>
      <c r="L323" s="6">
        <f t="shared" si="5"/>
        <v>5646.685934111636</v>
      </c>
    </row>
    <row r="324" spans="1:12" x14ac:dyDescent="0.25">
      <c r="A324" s="2" t="s">
        <v>89</v>
      </c>
      <c r="B324" s="2" t="s">
        <v>90</v>
      </c>
      <c r="C324" s="2" t="s">
        <v>318</v>
      </c>
      <c r="D324" s="3">
        <v>8398</v>
      </c>
      <c r="E324" s="3">
        <v>100</v>
      </c>
      <c r="F324" s="3">
        <v>249</v>
      </c>
      <c r="G324" s="3">
        <v>8747</v>
      </c>
      <c r="H324" s="3">
        <v>0</v>
      </c>
      <c r="I324" s="3">
        <v>133111745</v>
      </c>
      <c r="J324" s="3">
        <v>133111745</v>
      </c>
      <c r="K324" s="4">
        <v>4.2531199999999998E-2</v>
      </c>
      <c r="L324" s="3">
        <f t="shared" si="5"/>
        <v>15217.988453183949</v>
      </c>
    </row>
    <row r="325" spans="1:12" x14ac:dyDescent="0.25">
      <c r="A325" s="5" t="s">
        <v>89</v>
      </c>
      <c r="B325" s="5" t="s">
        <v>90</v>
      </c>
      <c r="C325" s="5" t="s">
        <v>216</v>
      </c>
      <c r="D325" s="6">
        <v>90497</v>
      </c>
      <c r="E325" s="6">
        <v>324</v>
      </c>
      <c r="F325" s="6">
        <v>477</v>
      </c>
      <c r="G325" s="6">
        <v>91298</v>
      </c>
      <c r="H325" s="6">
        <v>0</v>
      </c>
      <c r="I325" s="6">
        <v>136821090</v>
      </c>
      <c r="J325" s="6">
        <v>136821090</v>
      </c>
      <c r="K325" s="7">
        <v>4.3607460000000001E-2</v>
      </c>
      <c r="L325" s="6">
        <f t="shared" si="5"/>
        <v>1498.6208898332932</v>
      </c>
    </row>
    <row r="326" spans="1:12" x14ac:dyDescent="0.25">
      <c r="A326" s="2" t="s">
        <v>89</v>
      </c>
      <c r="B326" s="2" t="s">
        <v>90</v>
      </c>
      <c r="C326" s="2" t="s">
        <v>319</v>
      </c>
      <c r="D326" s="3">
        <v>89470</v>
      </c>
      <c r="E326" s="3">
        <v>345</v>
      </c>
      <c r="F326" s="3">
        <v>394</v>
      </c>
      <c r="G326" s="3">
        <v>90209</v>
      </c>
      <c r="H326" s="3">
        <v>35</v>
      </c>
      <c r="I326" s="3">
        <v>139276933</v>
      </c>
      <c r="J326" s="3">
        <v>139276968</v>
      </c>
      <c r="K326" s="4">
        <v>4.4358139999999997E-2</v>
      </c>
      <c r="L326" s="3">
        <f t="shared" si="5"/>
        <v>1543.9365030096776</v>
      </c>
    </row>
    <row r="327" spans="1:12" x14ac:dyDescent="0.25">
      <c r="A327" s="5" t="s">
        <v>89</v>
      </c>
      <c r="B327" s="5" t="s">
        <v>90</v>
      </c>
      <c r="C327" s="5" t="s">
        <v>319</v>
      </c>
      <c r="D327" s="6">
        <v>95452</v>
      </c>
      <c r="E327" s="6">
        <v>324</v>
      </c>
      <c r="F327" s="6">
        <v>439</v>
      </c>
      <c r="G327" s="6">
        <v>96215</v>
      </c>
      <c r="H327" s="6">
        <v>0</v>
      </c>
      <c r="I327" s="6">
        <v>167095214</v>
      </c>
      <c r="J327" s="6">
        <v>167095214</v>
      </c>
      <c r="K327" s="7">
        <v>5.2585159999999999E-2</v>
      </c>
      <c r="L327" s="6">
        <f t="shared" si="5"/>
        <v>1736.6856934989346</v>
      </c>
    </row>
    <row r="328" spans="1:12" x14ac:dyDescent="0.25">
      <c r="A328" s="2" t="s">
        <v>89</v>
      </c>
      <c r="B328" s="2" t="s">
        <v>90</v>
      </c>
      <c r="C328" s="2" t="s">
        <v>320</v>
      </c>
      <c r="D328" s="3">
        <v>108910</v>
      </c>
      <c r="E328" s="3">
        <v>313</v>
      </c>
      <c r="F328" s="3">
        <v>439</v>
      </c>
      <c r="G328" s="3">
        <v>109662</v>
      </c>
      <c r="H328" s="3">
        <v>0</v>
      </c>
      <c r="I328" s="3">
        <v>218221868</v>
      </c>
      <c r="J328" s="3">
        <v>218221868</v>
      </c>
      <c r="K328" s="4">
        <v>0.64786257000000003</v>
      </c>
      <c r="L328" s="3">
        <f t="shared" si="5"/>
        <v>1989.9497364629499</v>
      </c>
    </row>
    <row r="329" spans="1:12" x14ac:dyDescent="0.25">
      <c r="A329" s="5" t="s">
        <v>89</v>
      </c>
      <c r="B329" s="5" t="s">
        <v>90</v>
      </c>
      <c r="C329" s="5" t="s">
        <v>321</v>
      </c>
      <c r="D329" s="6">
        <v>101193</v>
      </c>
      <c r="E329" s="6">
        <v>326</v>
      </c>
      <c r="F329" s="6">
        <v>112</v>
      </c>
      <c r="G329" s="6">
        <v>101631</v>
      </c>
      <c r="H329" s="6">
        <v>0</v>
      </c>
      <c r="I329" s="6">
        <v>194099944</v>
      </c>
      <c r="J329" s="6">
        <v>194099944</v>
      </c>
      <c r="K329" s="7">
        <v>6.0609999999999997E-2</v>
      </c>
      <c r="L329" s="6">
        <f t="shared" si="5"/>
        <v>1909.849789926302</v>
      </c>
    </row>
    <row r="330" spans="1:12" x14ac:dyDescent="0.25">
      <c r="A330" s="2" t="s">
        <v>89</v>
      </c>
      <c r="B330" s="2" t="s">
        <v>90</v>
      </c>
      <c r="C330" s="2" t="s">
        <v>322</v>
      </c>
      <c r="D330" s="3">
        <v>101313</v>
      </c>
      <c r="E330" s="3">
        <v>323</v>
      </c>
      <c r="F330" s="3">
        <v>104</v>
      </c>
      <c r="G330" s="3">
        <v>101740</v>
      </c>
      <c r="H330" s="3">
        <v>0</v>
      </c>
      <c r="I330" s="3">
        <v>172421054</v>
      </c>
      <c r="J330" s="3">
        <v>172421054</v>
      </c>
      <c r="K330" s="4">
        <v>5.3840000000000013E-2</v>
      </c>
      <c r="L330" s="3">
        <f t="shared" si="5"/>
        <v>1694.7223707489679</v>
      </c>
    </row>
    <row r="331" spans="1:12" x14ac:dyDescent="0.25">
      <c r="A331" s="5" t="s">
        <v>89</v>
      </c>
      <c r="B331" s="5" t="s">
        <v>90</v>
      </c>
      <c r="C331" s="5" t="s">
        <v>91</v>
      </c>
      <c r="D331" s="6">
        <v>89690</v>
      </c>
      <c r="E331" s="6">
        <v>233</v>
      </c>
      <c r="F331" s="6">
        <v>43</v>
      </c>
      <c r="G331" s="6">
        <v>89966</v>
      </c>
      <c r="H331" s="6">
        <v>0</v>
      </c>
      <c r="I331" s="6">
        <v>1853932413</v>
      </c>
      <c r="J331" s="6">
        <v>1853932413</v>
      </c>
      <c r="K331" s="7">
        <v>2.0000000000000001E-4</v>
      </c>
      <c r="L331" s="6">
        <f t="shared" si="5"/>
        <v>20607.033912811508</v>
      </c>
    </row>
    <row r="332" spans="1:12" x14ac:dyDescent="0.25">
      <c r="A332" s="2" t="s">
        <v>132</v>
      </c>
      <c r="B332" s="2" t="s">
        <v>133</v>
      </c>
      <c r="C332" s="2" t="s">
        <v>323</v>
      </c>
      <c r="D332" s="3">
        <v>4998</v>
      </c>
      <c r="E332" s="3">
        <v>0</v>
      </c>
      <c r="F332" s="3">
        <v>149</v>
      </c>
      <c r="G332" s="3">
        <v>5147</v>
      </c>
      <c r="H332" s="3">
        <v>146032921</v>
      </c>
      <c r="I332" s="3">
        <v>0</v>
      </c>
      <c r="J332" s="3">
        <v>146032921</v>
      </c>
      <c r="K332" s="4">
        <v>0.21729999999999999</v>
      </c>
      <c r="L332" s="3">
        <f t="shared" si="5"/>
        <v>28372.434622109966</v>
      </c>
    </row>
    <row r="333" spans="1:12" x14ac:dyDescent="0.25">
      <c r="A333" s="5" t="s">
        <v>132</v>
      </c>
      <c r="B333" s="5" t="s">
        <v>133</v>
      </c>
      <c r="C333" s="5" t="s">
        <v>324</v>
      </c>
      <c r="D333" s="6">
        <v>5936</v>
      </c>
      <c r="E333" s="6">
        <v>0</v>
      </c>
      <c r="F333" s="6">
        <v>329</v>
      </c>
      <c r="G333" s="6">
        <v>6265</v>
      </c>
      <c r="H333" s="6">
        <v>217060254</v>
      </c>
      <c r="I333" s="6">
        <v>0</v>
      </c>
      <c r="J333" s="6">
        <v>217060254</v>
      </c>
      <c r="K333" s="7">
        <v>0.29211999999999999</v>
      </c>
      <c r="L333" s="6">
        <f t="shared" si="5"/>
        <v>34646.489066241018</v>
      </c>
    </row>
    <row r="334" spans="1:12" x14ac:dyDescent="0.25">
      <c r="A334" s="2" t="s">
        <v>132</v>
      </c>
      <c r="B334" s="2" t="s">
        <v>133</v>
      </c>
      <c r="C334" s="2" t="s">
        <v>325</v>
      </c>
      <c r="D334" s="3">
        <v>19562</v>
      </c>
      <c r="E334" s="3">
        <v>269</v>
      </c>
      <c r="F334" s="3">
        <v>1669</v>
      </c>
      <c r="G334" s="3">
        <v>21500</v>
      </c>
      <c r="H334" s="3">
        <v>1085256490</v>
      </c>
      <c r="I334" s="3">
        <v>0</v>
      </c>
      <c r="J334" s="3">
        <v>1085256490</v>
      </c>
      <c r="K334" s="4">
        <v>0.2921338</v>
      </c>
      <c r="L334" s="3">
        <f t="shared" si="5"/>
        <v>50477.046046511627</v>
      </c>
    </row>
    <row r="335" spans="1:12" x14ac:dyDescent="0.25">
      <c r="A335" s="5" t="s">
        <v>132</v>
      </c>
      <c r="B335" s="5" t="s">
        <v>133</v>
      </c>
      <c r="C335" s="5" t="s">
        <v>260</v>
      </c>
      <c r="D335" s="6">
        <v>35931</v>
      </c>
      <c r="E335" s="6">
        <v>205</v>
      </c>
      <c r="F335" s="6">
        <v>1606</v>
      </c>
      <c r="G335" s="6">
        <v>37742</v>
      </c>
      <c r="H335" s="6">
        <v>4454692382</v>
      </c>
      <c r="I335" s="6">
        <v>0</v>
      </c>
      <c r="J335" s="6">
        <v>4454692382</v>
      </c>
      <c r="K335" s="7">
        <v>0.62369874000000003</v>
      </c>
      <c r="L335" s="6">
        <f t="shared" si="5"/>
        <v>118030.10921519792</v>
      </c>
    </row>
    <row r="336" spans="1:12" x14ac:dyDescent="0.25">
      <c r="A336" s="2" t="s">
        <v>132</v>
      </c>
      <c r="B336" s="2" t="s">
        <v>133</v>
      </c>
      <c r="C336" s="2" t="s">
        <v>218</v>
      </c>
      <c r="D336" s="3">
        <v>48099</v>
      </c>
      <c r="E336" s="3">
        <v>300</v>
      </c>
      <c r="F336" s="3">
        <v>2237</v>
      </c>
      <c r="G336" s="3">
        <v>50636</v>
      </c>
      <c r="H336" s="3">
        <v>4455957762</v>
      </c>
      <c r="I336" s="3">
        <v>0</v>
      </c>
      <c r="J336" s="3">
        <v>4455957762</v>
      </c>
      <c r="K336" s="4">
        <v>0.62371195999999995</v>
      </c>
      <c r="L336" s="3">
        <f t="shared" si="5"/>
        <v>87999.797811833472</v>
      </c>
    </row>
    <row r="337" spans="1:12" x14ac:dyDescent="0.25">
      <c r="A337" s="5" t="s">
        <v>132</v>
      </c>
      <c r="B337" s="5" t="s">
        <v>133</v>
      </c>
      <c r="C337" s="5" t="s">
        <v>326</v>
      </c>
      <c r="D337" s="6">
        <v>52887</v>
      </c>
      <c r="E337" s="6">
        <v>298</v>
      </c>
      <c r="F337" s="6">
        <v>2282</v>
      </c>
      <c r="G337" s="6">
        <v>55467</v>
      </c>
      <c r="H337" s="6">
        <v>4394332306</v>
      </c>
      <c r="I337" s="6">
        <v>0</v>
      </c>
      <c r="J337" s="6">
        <v>4394332306</v>
      </c>
      <c r="K337" s="7">
        <v>0.58284000000000002</v>
      </c>
      <c r="L337" s="6">
        <f t="shared" si="5"/>
        <v>79224.264986388298</v>
      </c>
    </row>
    <row r="338" spans="1:12" x14ac:dyDescent="0.25">
      <c r="A338" s="2" t="s">
        <v>132</v>
      </c>
      <c r="B338" s="2" t="s">
        <v>133</v>
      </c>
      <c r="C338" s="2" t="s">
        <v>183</v>
      </c>
      <c r="D338" s="3">
        <v>57149</v>
      </c>
      <c r="E338" s="3">
        <v>253</v>
      </c>
      <c r="F338" s="3">
        <v>1711</v>
      </c>
      <c r="G338" s="3">
        <v>59113</v>
      </c>
      <c r="H338" s="3">
        <v>4668258132</v>
      </c>
      <c r="I338" s="3">
        <v>0</v>
      </c>
      <c r="J338" s="3">
        <v>4668258132</v>
      </c>
      <c r="K338" s="4">
        <v>0.61917999999999995</v>
      </c>
      <c r="L338" s="3">
        <f t="shared" si="5"/>
        <v>78971.768172821539</v>
      </c>
    </row>
    <row r="339" spans="1:12" x14ac:dyDescent="0.25">
      <c r="A339" s="5" t="s">
        <v>132</v>
      </c>
      <c r="B339" s="5" t="s">
        <v>133</v>
      </c>
      <c r="C339" s="5" t="s">
        <v>214</v>
      </c>
      <c r="D339" s="6">
        <v>59692</v>
      </c>
      <c r="E339" s="6">
        <v>292</v>
      </c>
      <c r="F339" s="6">
        <v>1166</v>
      </c>
      <c r="G339" s="6">
        <v>61150</v>
      </c>
      <c r="H339" s="6">
        <v>274912315</v>
      </c>
      <c r="I339" s="6">
        <v>0</v>
      </c>
      <c r="J339" s="6">
        <v>274912315</v>
      </c>
      <c r="K339" s="7">
        <v>0.54695000000000005</v>
      </c>
      <c r="L339" s="6">
        <f t="shared" si="5"/>
        <v>4495.7042518397384</v>
      </c>
    </row>
    <row r="340" spans="1:12" x14ac:dyDescent="0.25">
      <c r="A340" s="2" t="s">
        <v>132</v>
      </c>
      <c r="B340" s="2" t="s">
        <v>133</v>
      </c>
      <c r="C340" s="2" t="s">
        <v>20</v>
      </c>
      <c r="D340" s="3">
        <v>32805</v>
      </c>
      <c r="E340" s="3">
        <v>185</v>
      </c>
      <c r="F340" s="3">
        <v>820</v>
      </c>
      <c r="G340" s="3">
        <v>33810</v>
      </c>
      <c r="H340" s="3">
        <v>275619506</v>
      </c>
      <c r="I340" s="3">
        <v>0</v>
      </c>
      <c r="J340" s="3">
        <v>275619506</v>
      </c>
      <c r="K340" s="4">
        <v>0.54835</v>
      </c>
      <c r="L340" s="3">
        <f t="shared" si="5"/>
        <v>8152.0114167406091</v>
      </c>
    </row>
    <row r="341" spans="1:12" x14ac:dyDescent="0.25">
      <c r="A341" s="5" t="s">
        <v>127</v>
      </c>
      <c r="B341" s="5" t="s">
        <v>128</v>
      </c>
      <c r="C341" s="5" t="s">
        <v>327</v>
      </c>
      <c r="D341" s="6">
        <v>7927</v>
      </c>
      <c r="E341" s="6">
        <v>73</v>
      </c>
      <c r="F341" s="6">
        <v>1395</v>
      </c>
      <c r="G341" s="6">
        <v>9395</v>
      </c>
      <c r="H341" s="6">
        <v>396959288</v>
      </c>
      <c r="I341" s="6">
        <v>0</v>
      </c>
      <c r="J341" s="6">
        <v>396959288</v>
      </c>
      <c r="K341" s="7">
        <v>0.62786430000000004</v>
      </c>
      <c r="L341" s="6">
        <f t="shared" si="5"/>
        <v>42252.186056412982</v>
      </c>
    </row>
    <row r="342" spans="1:12" x14ac:dyDescent="0.25">
      <c r="A342" s="2" t="s">
        <v>127</v>
      </c>
      <c r="B342" s="2" t="s">
        <v>128</v>
      </c>
      <c r="C342" s="2" t="s">
        <v>224</v>
      </c>
      <c r="D342" s="3">
        <v>27999</v>
      </c>
      <c r="E342" s="3">
        <v>152</v>
      </c>
      <c r="F342" s="3">
        <v>1192</v>
      </c>
      <c r="G342" s="3">
        <v>29343</v>
      </c>
      <c r="H342" s="3">
        <v>407518048</v>
      </c>
      <c r="I342" s="3">
        <v>0</v>
      </c>
      <c r="J342" s="3">
        <v>407518048</v>
      </c>
      <c r="K342" s="4">
        <v>0.64456424999999995</v>
      </c>
      <c r="L342" s="3">
        <f t="shared" si="5"/>
        <v>13888.083972327302</v>
      </c>
    </row>
    <row r="343" spans="1:12" x14ac:dyDescent="0.25">
      <c r="A343" s="5" t="s">
        <v>127</v>
      </c>
      <c r="B343" s="5" t="s">
        <v>128</v>
      </c>
      <c r="C343" s="5" t="s">
        <v>328</v>
      </c>
      <c r="D343" s="6">
        <v>47067</v>
      </c>
      <c r="E343" s="6">
        <v>790</v>
      </c>
      <c r="F343" s="6">
        <v>763</v>
      </c>
      <c r="G343" s="6">
        <v>48620</v>
      </c>
      <c r="H343" s="6">
        <v>410147968</v>
      </c>
      <c r="I343" s="6">
        <v>0</v>
      </c>
      <c r="J343" s="6">
        <v>410147968</v>
      </c>
      <c r="K343" s="7">
        <v>0.64872394</v>
      </c>
      <c r="L343" s="6">
        <f t="shared" si="5"/>
        <v>8435.7870835047306</v>
      </c>
    </row>
    <row r="344" spans="1:12" x14ac:dyDescent="0.25">
      <c r="A344" s="2" t="s">
        <v>127</v>
      </c>
      <c r="B344" s="2" t="s">
        <v>128</v>
      </c>
      <c r="C344" s="2" t="s">
        <v>329</v>
      </c>
      <c r="D344" s="3">
        <v>60760</v>
      </c>
      <c r="E344" s="3">
        <v>882</v>
      </c>
      <c r="F344" s="3">
        <v>673</v>
      </c>
      <c r="G344" s="3">
        <v>62315</v>
      </c>
      <c r="H344" s="3">
        <v>410253528</v>
      </c>
      <c r="I344" s="3">
        <v>0</v>
      </c>
      <c r="J344" s="3">
        <v>410253528</v>
      </c>
      <c r="K344" s="4">
        <v>0.64768000000000003</v>
      </c>
      <c r="L344" s="3">
        <f t="shared" si="5"/>
        <v>6583.54373746289</v>
      </c>
    </row>
    <row r="345" spans="1:12" x14ac:dyDescent="0.25">
      <c r="A345" s="5" t="s">
        <v>127</v>
      </c>
      <c r="B345" s="5" t="s">
        <v>128</v>
      </c>
      <c r="C345" s="5" t="s">
        <v>292</v>
      </c>
      <c r="D345" s="6">
        <v>53983</v>
      </c>
      <c r="E345" s="6">
        <v>1061</v>
      </c>
      <c r="F345" s="6">
        <v>765</v>
      </c>
      <c r="G345" s="6">
        <v>55809</v>
      </c>
      <c r="H345" s="6">
        <v>400842480</v>
      </c>
      <c r="I345" s="6">
        <v>0</v>
      </c>
      <c r="J345" s="6">
        <v>400842480</v>
      </c>
      <c r="K345" s="7">
        <v>0.63280000000000003</v>
      </c>
      <c r="L345" s="6">
        <f t="shared" si="5"/>
        <v>7182.3985378702364</v>
      </c>
    </row>
    <row r="346" spans="1:12" x14ac:dyDescent="0.25">
      <c r="A346" s="2" t="s">
        <v>127</v>
      </c>
      <c r="B346" s="2" t="s">
        <v>128</v>
      </c>
      <c r="C346" s="2" t="s">
        <v>330</v>
      </c>
      <c r="D346" s="3">
        <v>41115</v>
      </c>
      <c r="E346" s="3">
        <v>643</v>
      </c>
      <c r="F346" s="3">
        <v>773</v>
      </c>
      <c r="G346" s="3">
        <v>42531</v>
      </c>
      <c r="H346" s="3">
        <v>409310634</v>
      </c>
      <c r="I346" s="3">
        <v>0</v>
      </c>
      <c r="J346" s="3">
        <v>409310634</v>
      </c>
      <c r="K346" s="4">
        <v>0.64619000000000004</v>
      </c>
      <c r="L346" s="3">
        <f t="shared" si="5"/>
        <v>9623.8187204627211</v>
      </c>
    </row>
    <row r="347" spans="1:12" x14ac:dyDescent="0.25">
      <c r="A347" s="5" t="s">
        <v>127</v>
      </c>
      <c r="B347" s="5" t="s">
        <v>128</v>
      </c>
      <c r="C347" s="5" t="s">
        <v>195</v>
      </c>
      <c r="D347" s="6">
        <v>36950</v>
      </c>
      <c r="E347" s="6">
        <v>558</v>
      </c>
      <c r="F347" s="6">
        <v>350</v>
      </c>
      <c r="G347" s="6">
        <v>37858</v>
      </c>
      <c r="H347" s="6">
        <v>360057207</v>
      </c>
      <c r="I347" s="6">
        <v>0</v>
      </c>
      <c r="J347" s="6">
        <v>360057207</v>
      </c>
      <c r="K347" s="7">
        <v>0.56842999999999999</v>
      </c>
      <c r="L347" s="6">
        <f t="shared" si="5"/>
        <v>9510.7297532886041</v>
      </c>
    </row>
    <row r="348" spans="1:12" x14ac:dyDescent="0.25">
      <c r="A348" s="2" t="s">
        <v>127</v>
      </c>
      <c r="B348" s="2" t="s">
        <v>128</v>
      </c>
      <c r="C348" s="2" t="s">
        <v>195</v>
      </c>
      <c r="D348" s="3">
        <v>36779</v>
      </c>
      <c r="E348" s="3">
        <v>547</v>
      </c>
      <c r="F348" s="3">
        <v>547</v>
      </c>
      <c r="G348" s="3">
        <v>37873</v>
      </c>
      <c r="H348" s="3">
        <v>321083946</v>
      </c>
      <c r="I348" s="3">
        <v>0</v>
      </c>
      <c r="J348" s="3">
        <v>321083946</v>
      </c>
      <c r="K348" s="4">
        <v>0.45607999999999999</v>
      </c>
      <c r="L348" s="3">
        <f t="shared" si="5"/>
        <v>8477.9115992923726</v>
      </c>
    </row>
    <row r="349" spans="1:12" x14ac:dyDescent="0.25">
      <c r="A349" s="5" t="s">
        <v>127</v>
      </c>
      <c r="B349" s="5" t="s">
        <v>128</v>
      </c>
      <c r="C349" s="5" t="s">
        <v>129</v>
      </c>
      <c r="D349" s="6">
        <v>36950</v>
      </c>
      <c r="E349" s="6">
        <v>558</v>
      </c>
      <c r="F349" s="6">
        <v>350</v>
      </c>
      <c r="G349" s="6">
        <v>37858</v>
      </c>
      <c r="H349" s="6">
        <v>296007718</v>
      </c>
      <c r="I349" s="6">
        <v>0</v>
      </c>
      <c r="J349" s="6">
        <v>296007718</v>
      </c>
      <c r="K349" s="7">
        <v>0.42046</v>
      </c>
      <c r="L349" s="6">
        <f t="shared" si="5"/>
        <v>7818.8947646468378</v>
      </c>
    </row>
    <row r="350" spans="1:12" x14ac:dyDescent="0.25">
      <c r="A350" s="2" t="s">
        <v>163</v>
      </c>
      <c r="B350" s="2" t="s">
        <v>331</v>
      </c>
      <c r="C350" s="2" t="s">
        <v>227</v>
      </c>
      <c r="D350" s="3">
        <v>556</v>
      </c>
      <c r="E350" s="3">
        <v>63</v>
      </c>
      <c r="F350" s="3">
        <v>25</v>
      </c>
      <c r="G350" s="3">
        <v>644</v>
      </c>
      <c r="H350" s="3">
        <v>34899111</v>
      </c>
      <c r="I350" s="3">
        <v>0</v>
      </c>
      <c r="J350" s="3">
        <v>34899111</v>
      </c>
      <c r="K350" s="4">
        <v>1</v>
      </c>
      <c r="L350" s="3">
        <f t="shared" si="5"/>
        <v>54191.166149068325</v>
      </c>
    </row>
    <row r="351" spans="1:12" x14ac:dyDescent="0.25">
      <c r="A351" s="5" t="s">
        <v>163</v>
      </c>
      <c r="B351" s="5" t="s">
        <v>164</v>
      </c>
      <c r="C351" s="5" t="s">
        <v>327</v>
      </c>
      <c r="D351" s="6">
        <v>1566</v>
      </c>
      <c r="E351" s="6">
        <v>435</v>
      </c>
      <c r="F351" s="6">
        <v>0</v>
      </c>
      <c r="G351" s="6">
        <v>2001</v>
      </c>
      <c r="H351" s="6">
        <v>86705835</v>
      </c>
      <c r="I351" s="6">
        <v>0</v>
      </c>
      <c r="J351" s="6">
        <v>86705835</v>
      </c>
      <c r="K351" s="7">
        <v>0.49094082999999999</v>
      </c>
      <c r="L351" s="6">
        <f t="shared" si="5"/>
        <v>43331.251874062968</v>
      </c>
    </row>
    <row r="352" spans="1:12" x14ac:dyDescent="0.25">
      <c r="A352" s="2" t="s">
        <v>163</v>
      </c>
      <c r="B352" s="2" t="s">
        <v>331</v>
      </c>
      <c r="C352" s="2" t="s">
        <v>253</v>
      </c>
      <c r="D352" s="3">
        <v>531</v>
      </c>
      <c r="E352" s="3">
        <v>42</v>
      </c>
      <c r="F352" s="3">
        <v>36</v>
      </c>
      <c r="G352" s="3">
        <v>609</v>
      </c>
      <c r="H352" s="3">
        <v>34873611</v>
      </c>
      <c r="I352" s="3">
        <v>0</v>
      </c>
      <c r="J352" s="3">
        <v>34873611</v>
      </c>
      <c r="K352" s="4">
        <v>1</v>
      </c>
      <c r="L352" s="3">
        <f t="shared" si="5"/>
        <v>57263.729064039406</v>
      </c>
    </row>
    <row r="353" spans="1:12" x14ac:dyDescent="0.25">
      <c r="A353" s="5" t="s">
        <v>163</v>
      </c>
      <c r="B353" s="5" t="s">
        <v>164</v>
      </c>
      <c r="C353" s="5" t="s">
        <v>327</v>
      </c>
      <c r="D353" s="6">
        <v>2384</v>
      </c>
      <c r="E353" s="6">
        <v>657</v>
      </c>
      <c r="F353" s="6">
        <v>0</v>
      </c>
      <c r="G353" s="6">
        <v>3041</v>
      </c>
      <c r="H353" s="6">
        <v>86913923</v>
      </c>
      <c r="I353" s="6">
        <v>0</v>
      </c>
      <c r="J353" s="6">
        <v>86913923</v>
      </c>
      <c r="K353" s="7">
        <v>0.49209999999999998</v>
      </c>
      <c r="L353" s="6">
        <f t="shared" si="5"/>
        <v>28580.704702400526</v>
      </c>
    </row>
    <row r="354" spans="1:12" x14ac:dyDescent="0.25">
      <c r="A354" s="2" t="s">
        <v>163</v>
      </c>
      <c r="B354" s="2" t="s">
        <v>331</v>
      </c>
      <c r="C354" s="2" t="s">
        <v>332</v>
      </c>
      <c r="D354" s="3">
        <v>20197</v>
      </c>
      <c r="E354" s="3">
        <v>184</v>
      </c>
      <c r="F354" s="3">
        <v>119</v>
      </c>
      <c r="G354" s="3">
        <v>20500</v>
      </c>
      <c r="H354" s="3">
        <v>34833911</v>
      </c>
      <c r="I354" s="3">
        <v>0</v>
      </c>
      <c r="J354" s="3">
        <v>34833911</v>
      </c>
      <c r="K354" s="4">
        <v>1</v>
      </c>
      <c r="L354" s="3">
        <f t="shared" si="5"/>
        <v>1699.2151707317073</v>
      </c>
    </row>
    <row r="355" spans="1:12" x14ac:dyDescent="0.25">
      <c r="A355" s="5" t="s">
        <v>163</v>
      </c>
      <c r="B355" s="5" t="s">
        <v>164</v>
      </c>
      <c r="C355" s="5" t="s">
        <v>333</v>
      </c>
      <c r="D355" s="6">
        <v>39517</v>
      </c>
      <c r="E355" s="6">
        <v>1044</v>
      </c>
      <c r="F355" s="6">
        <v>0</v>
      </c>
      <c r="G355" s="6">
        <v>40561</v>
      </c>
      <c r="H355" s="6">
        <v>85796919</v>
      </c>
      <c r="I355" s="6">
        <v>0</v>
      </c>
      <c r="J355" s="6">
        <v>85796919</v>
      </c>
      <c r="K355" s="7">
        <v>0.48794419</v>
      </c>
      <c r="L355" s="6">
        <f t="shared" si="5"/>
        <v>2115.2565025517124</v>
      </c>
    </row>
    <row r="356" spans="1:12" x14ac:dyDescent="0.25">
      <c r="A356" s="2" t="s">
        <v>163</v>
      </c>
      <c r="B356" s="2" t="s">
        <v>164</v>
      </c>
      <c r="C356" s="2" t="s">
        <v>205</v>
      </c>
      <c r="D356" s="3">
        <v>43946</v>
      </c>
      <c r="E356" s="3">
        <v>1064</v>
      </c>
      <c r="F356" s="3">
        <v>0</v>
      </c>
      <c r="G356" s="3">
        <v>45010</v>
      </c>
      <c r="H356" s="3">
        <v>85748277</v>
      </c>
      <c r="I356" s="3">
        <v>0</v>
      </c>
      <c r="J356" s="3">
        <v>85748277</v>
      </c>
      <c r="K356" s="4">
        <v>0.48551899999999998</v>
      </c>
      <c r="L356" s="3">
        <f t="shared" si="5"/>
        <v>1905.0939124638969</v>
      </c>
    </row>
    <row r="357" spans="1:12" x14ac:dyDescent="0.25">
      <c r="A357" s="5" t="s">
        <v>163</v>
      </c>
      <c r="B357" s="5" t="s">
        <v>331</v>
      </c>
      <c r="C357" s="5" t="s">
        <v>334</v>
      </c>
      <c r="D357" s="6">
        <v>54904</v>
      </c>
      <c r="E357" s="6">
        <v>1172</v>
      </c>
      <c r="F357" s="6">
        <v>63</v>
      </c>
      <c r="G357" s="6">
        <v>56139</v>
      </c>
      <c r="H357" s="6">
        <v>233872430</v>
      </c>
      <c r="I357" s="6">
        <v>360027960</v>
      </c>
      <c r="J357" s="6">
        <v>593900390</v>
      </c>
      <c r="K357" s="7">
        <v>0.52742115000000001</v>
      </c>
      <c r="L357" s="6">
        <f t="shared" si="5"/>
        <v>10579.105256595236</v>
      </c>
    </row>
    <row r="358" spans="1:12" x14ac:dyDescent="0.25">
      <c r="A358" s="2" t="s">
        <v>163</v>
      </c>
      <c r="B358" s="2" t="s">
        <v>164</v>
      </c>
      <c r="C358" s="2" t="s">
        <v>226</v>
      </c>
      <c r="D358" s="3">
        <v>0</v>
      </c>
      <c r="E358" s="3">
        <v>1</v>
      </c>
      <c r="F358" s="3">
        <v>0</v>
      </c>
      <c r="G358" s="3">
        <v>1</v>
      </c>
      <c r="H358" s="3">
        <v>0</v>
      </c>
      <c r="I358" s="3">
        <v>0</v>
      </c>
      <c r="J358" s="3">
        <v>0</v>
      </c>
      <c r="K358" s="4">
        <v>0</v>
      </c>
      <c r="L358" s="3">
        <f t="shared" si="5"/>
        <v>0</v>
      </c>
    </row>
    <row r="359" spans="1:12" x14ac:dyDescent="0.25">
      <c r="A359" s="5" t="s">
        <v>163</v>
      </c>
      <c r="B359" s="5" t="s">
        <v>331</v>
      </c>
      <c r="C359" s="5" t="s">
        <v>335</v>
      </c>
      <c r="D359" s="6">
        <v>56072</v>
      </c>
      <c r="E359" s="6">
        <v>1375</v>
      </c>
      <c r="F359" s="6">
        <v>49</v>
      </c>
      <c r="G359" s="6">
        <v>57496</v>
      </c>
      <c r="H359" s="6">
        <v>249585008</v>
      </c>
      <c r="I359" s="6">
        <v>431482110</v>
      </c>
      <c r="J359" s="6">
        <v>681067118</v>
      </c>
      <c r="K359" s="7">
        <v>0.55610000000000004</v>
      </c>
      <c r="L359" s="6">
        <f t="shared" si="5"/>
        <v>11845.469563100041</v>
      </c>
    </row>
    <row r="360" spans="1:12" x14ac:dyDescent="0.25">
      <c r="A360" s="2" t="s">
        <v>163</v>
      </c>
      <c r="B360" s="2" t="s">
        <v>164</v>
      </c>
      <c r="C360" s="2" t="s">
        <v>336</v>
      </c>
      <c r="D360" s="3">
        <v>0</v>
      </c>
      <c r="E360" s="3">
        <v>1</v>
      </c>
      <c r="F360" s="3">
        <v>0</v>
      </c>
      <c r="G360" s="3">
        <v>1</v>
      </c>
      <c r="H360" s="3">
        <v>0</v>
      </c>
      <c r="I360" s="3">
        <v>0</v>
      </c>
      <c r="J360" s="3">
        <v>0</v>
      </c>
      <c r="K360" s="4">
        <v>0</v>
      </c>
      <c r="L360" s="3">
        <f t="shared" si="5"/>
        <v>0</v>
      </c>
    </row>
    <row r="361" spans="1:12" x14ac:dyDescent="0.25">
      <c r="A361" s="5" t="s">
        <v>163</v>
      </c>
      <c r="B361" s="5" t="s">
        <v>331</v>
      </c>
      <c r="C361" s="5" t="s">
        <v>336</v>
      </c>
      <c r="D361" s="6">
        <v>53340</v>
      </c>
      <c r="E361" s="6">
        <v>1325</v>
      </c>
      <c r="F361" s="6">
        <v>46</v>
      </c>
      <c r="G361" s="6">
        <v>54711</v>
      </c>
      <c r="H361" s="6">
        <v>238298510</v>
      </c>
      <c r="I361" s="6">
        <v>435244276</v>
      </c>
      <c r="J361" s="6">
        <v>673542786</v>
      </c>
      <c r="K361" s="7">
        <v>0.55033999999999994</v>
      </c>
      <c r="L361" s="6">
        <f t="shared" si="5"/>
        <v>12310.920765476778</v>
      </c>
    </row>
    <row r="362" spans="1:12" x14ac:dyDescent="0.25">
      <c r="A362" s="2" t="s">
        <v>163</v>
      </c>
      <c r="B362" s="2" t="s">
        <v>164</v>
      </c>
      <c r="C362" s="2" t="s">
        <v>257</v>
      </c>
      <c r="D362" s="3">
        <v>0</v>
      </c>
      <c r="E362" s="3">
        <v>1</v>
      </c>
      <c r="F362" s="3">
        <v>0</v>
      </c>
      <c r="G362" s="3">
        <v>1</v>
      </c>
      <c r="H362" s="3">
        <v>0</v>
      </c>
      <c r="I362" s="3">
        <v>0</v>
      </c>
      <c r="J362" s="3">
        <v>0</v>
      </c>
      <c r="K362" s="4">
        <v>0</v>
      </c>
      <c r="L362" s="3">
        <f t="shared" si="5"/>
        <v>0</v>
      </c>
    </row>
    <row r="363" spans="1:12" x14ac:dyDescent="0.25">
      <c r="A363" s="5" t="s">
        <v>163</v>
      </c>
      <c r="B363" s="5" t="s">
        <v>331</v>
      </c>
      <c r="C363" s="5" t="s">
        <v>257</v>
      </c>
      <c r="D363" s="6">
        <v>56268</v>
      </c>
      <c r="E363" s="6">
        <v>1653</v>
      </c>
      <c r="F363" s="6">
        <v>56</v>
      </c>
      <c r="G363" s="6">
        <v>57977</v>
      </c>
      <c r="H363" s="6">
        <v>219393176</v>
      </c>
      <c r="I363" s="6">
        <v>396949500</v>
      </c>
      <c r="J363" s="6">
        <v>616342676</v>
      </c>
      <c r="K363" s="7">
        <v>0.51090999999999998</v>
      </c>
      <c r="L363" s="6">
        <f t="shared" si="5"/>
        <v>10630.813529503079</v>
      </c>
    </row>
    <row r="364" spans="1:12" x14ac:dyDescent="0.25">
      <c r="A364" s="2" t="s">
        <v>163</v>
      </c>
      <c r="B364" s="2" t="s">
        <v>164</v>
      </c>
      <c r="C364" s="2" t="s">
        <v>165</v>
      </c>
      <c r="D364" s="3">
        <v>0</v>
      </c>
      <c r="E364" s="3">
        <v>1</v>
      </c>
      <c r="F364" s="3">
        <v>0</v>
      </c>
      <c r="G364" s="3">
        <v>1</v>
      </c>
      <c r="H364" s="3">
        <v>0</v>
      </c>
      <c r="I364" s="3">
        <v>0</v>
      </c>
      <c r="J364" s="3">
        <v>0</v>
      </c>
      <c r="K364" s="4">
        <v>0</v>
      </c>
      <c r="L364" s="3">
        <f t="shared" si="5"/>
        <v>0</v>
      </c>
    </row>
    <row r="365" spans="1:12" x14ac:dyDescent="0.25">
      <c r="A365" s="5" t="s">
        <v>163</v>
      </c>
      <c r="B365" s="5" t="s">
        <v>331</v>
      </c>
      <c r="C365" s="5" t="s">
        <v>165</v>
      </c>
      <c r="D365" s="6">
        <v>34275</v>
      </c>
      <c r="E365" s="6">
        <v>188</v>
      </c>
      <c r="F365" s="6">
        <v>827</v>
      </c>
      <c r="G365" s="6">
        <v>35290</v>
      </c>
      <c r="H365" s="6">
        <v>220985531</v>
      </c>
      <c r="I365" s="6">
        <v>411601964</v>
      </c>
      <c r="J365" s="6">
        <v>632587495</v>
      </c>
      <c r="K365" s="7">
        <v>0.53129999999999999</v>
      </c>
      <c r="L365" s="6">
        <f t="shared" si="5"/>
        <v>17925.403655426468</v>
      </c>
    </row>
    <row r="366" spans="1:12" x14ac:dyDescent="0.25">
      <c r="A366" s="2" t="s">
        <v>163</v>
      </c>
      <c r="B366" s="2" t="s">
        <v>164</v>
      </c>
      <c r="C366" s="2" t="s">
        <v>165</v>
      </c>
      <c r="D366" s="3">
        <v>0</v>
      </c>
      <c r="E366" s="3">
        <v>1</v>
      </c>
      <c r="F366" s="3">
        <v>0</v>
      </c>
      <c r="G366" s="3">
        <v>1</v>
      </c>
      <c r="H366" s="3">
        <v>0</v>
      </c>
      <c r="I366" s="3">
        <v>0</v>
      </c>
      <c r="J366" s="3">
        <v>0</v>
      </c>
      <c r="K366" s="4">
        <v>0</v>
      </c>
      <c r="L366" s="3">
        <f t="shared" si="5"/>
        <v>0</v>
      </c>
    </row>
    <row r="367" spans="1:12" x14ac:dyDescent="0.25">
      <c r="A367" s="5" t="s">
        <v>163</v>
      </c>
      <c r="B367" s="5" t="s">
        <v>331</v>
      </c>
      <c r="C367" s="5" t="s">
        <v>17</v>
      </c>
      <c r="D367" s="6">
        <v>32123</v>
      </c>
      <c r="E367" s="6">
        <v>192</v>
      </c>
      <c r="F367" s="6">
        <v>807</v>
      </c>
      <c r="G367" s="6">
        <v>33122</v>
      </c>
      <c r="H367" s="6">
        <v>242923211</v>
      </c>
      <c r="I367" s="6">
        <v>440859380</v>
      </c>
      <c r="J367" s="6">
        <v>683782591</v>
      </c>
      <c r="K367" s="7">
        <v>0.56680999999999993</v>
      </c>
      <c r="L367" s="6">
        <f t="shared" si="5"/>
        <v>20644.362991365255</v>
      </c>
    </row>
    <row r="368" spans="1:12" x14ac:dyDescent="0.25">
      <c r="A368" s="2" t="s">
        <v>18</v>
      </c>
      <c r="B368" s="2" t="s">
        <v>19</v>
      </c>
      <c r="C368" s="2" t="s">
        <v>263</v>
      </c>
      <c r="D368" s="3">
        <v>218111</v>
      </c>
      <c r="E368" s="3">
        <v>3011</v>
      </c>
      <c r="F368" s="3">
        <v>0</v>
      </c>
      <c r="G368" s="3">
        <v>221122</v>
      </c>
      <c r="H368" s="3">
        <v>1061353293</v>
      </c>
      <c r="I368" s="3">
        <v>4491459631</v>
      </c>
      <c r="J368" s="3">
        <v>5552812924</v>
      </c>
      <c r="K368" s="4">
        <v>0.66020833999999995</v>
      </c>
      <c r="L368" s="3">
        <f t="shared" si="5"/>
        <v>25111.98760865043</v>
      </c>
    </row>
    <row r="369" spans="1:12" x14ac:dyDescent="0.25">
      <c r="A369" s="5" t="s">
        <v>18</v>
      </c>
      <c r="B369" s="5" t="s">
        <v>19</v>
      </c>
      <c r="C369" s="5" t="s">
        <v>263</v>
      </c>
      <c r="D369" s="6">
        <v>218111</v>
      </c>
      <c r="E369" s="6">
        <v>3011</v>
      </c>
      <c r="F369" s="6">
        <v>0</v>
      </c>
      <c r="G369" s="6">
        <v>221122</v>
      </c>
      <c r="H369" s="6">
        <v>1061351414</v>
      </c>
      <c r="I369" s="6">
        <v>4494029326</v>
      </c>
      <c r="J369" s="6">
        <v>5555380740</v>
      </c>
      <c r="K369" s="7">
        <v>0.66049999999999998</v>
      </c>
      <c r="L369" s="6">
        <f t="shared" si="5"/>
        <v>25123.600274961333</v>
      </c>
    </row>
    <row r="370" spans="1:12" x14ac:dyDescent="0.25">
      <c r="A370" s="2" t="s">
        <v>18</v>
      </c>
      <c r="B370" s="2" t="s">
        <v>19</v>
      </c>
      <c r="C370" s="2" t="s">
        <v>337</v>
      </c>
      <c r="D370" s="3">
        <v>713795</v>
      </c>
      <c r="E370" s="3">
        <v>4065</v>
      </c>
      <c r="F370" s="3">
        <v>0</v>
      </c>
      <c r="G370" s="3">
        <v>717860</v>
      </c>
      <c r="H370" s="3">
        <v>1061351420</v>
      </c>
      <c r="I370" s="3">
        <v>4515538171</v>
      </c>
      <c r="J370" s="3">
        <v>5576889591</v>
      </c>
      <c r="K370" s="4">
        <v>0.66306173999999996</v>
      </c>
      <c r="L370" s="3">
        <f t="shared" si="5"/>
        <v>7768.7704998189065</v>
      </c>
    </row>
    <row r="371" spans="1:12" x14ac:dyDescent="0.25">
      <c r="A371" s="5" t="s">
        <v>18</v>
      </c>
      <c r="B371" s="5" t="s">
        <v>19</v>
      </c>
      <c r="C371" s="5" t="s">
        <v>260</v>
      </c>
      <c r="D371" s="6">
        <v>956974</v>
      </c>
      <c r="E371" s="6">
        <v>4408</v>
      </c>
      <c r="F371" s="6">
        <v>0</v>
      </c>
      <c r="G371" s="6">
        <v>961382</v>
      </c>
      <c r="H371" s="6">
        <v>1114419004</v>
      </c>
      <c r="I371" s="6">
        <v>4736140654</v>
      </c>
      <c r="J371" s="6">
        <v>5850559658</v>
      </c>
      <c r="K371" s="7">
        <v>0.6624758300000001</v>
      </c>
      <c r="L371" s="6">
        <f t="shared" si="5"/>
        <v>6085.5722886428075</v>
      </c>
    </row>
    <row r="372" spans="1:12" x14ac:dyDescent="0.25">
      <c r="A372" s="2" t="s">
        <v>18</v>
      </c>
      <c r="B372" s="2" t="s">
        <v>19</v>
      </c>
      <c r="C372" s="2" t="s">
        <v>182</v>
      </c>
      <c r="D372" s="3">
        <v>936740</v>
      </c>
      <c r="E372" s="3">
        <v>4044</v>
      </c>
      <c r="F372" s="3">
        <v>0</v>
      </c>
      <c r="G372" s="3">
        <v>940784</v>
      </c>
      <c r="H372" s="3">
        <v>1222019387</v>
      </c>
      <c r="I372" s="3">
        <v>5233076295</v>
      </c>
      <c r="J372" s="3">
        <v>6455095682</v>
      </c>
      <c r="K372" s="4">
        <v>0.66537707999999995</v>
      </c>
      <c r="L372" s="3">
        <f t="shared" si="5"/>
        <v>6861.4003660776543</v>
      </c>
    </row>
    <row r="373" spans="1:12" x14ac:dyDescent="0.25">
      <c r="A373" s="5" t="s">
        <v>18</v>
      </c>
      <c r="B373" s="5" t="s">
        <v>19</v>
      </c>
      <c r="C373" s="5" t="s">
        <v>182</v>
      </c>
      <c r="D373" s="6">
        <v>936740</v>
      </c>
      <c r="E373" s="6">
        <v>4044</v>
      </c>
      <c r="F373" s="6">
        <v>0</v>
      </c>
      <c r="G373" s="6">
        <v>940784</v>
      </c>
      <c r="H373" s="6">
        <v>1294957796</v>
      </c>
      <c r="I373" s="6">
        <v>5560910983</v>
      </c>
      <c r="J373" s="6">
        <v>6855868779</v>
      </c>
      <c r="K373" s="7">
        <v>0.66379999999999995</v>
      </c>
      <c r="L373" s="6">
        <f t="shared" si="5"/>
        <v>7287.399423246994</v>
      </c>
    </row>
    <row r="374" spans="1:12" x14ac:dyDescent="0.25">
      <c r="A374" s="2" t="s">
        <v>18</v>
      </c>
      <c r="B374" s="2" t="s">
        <v>19</v>
      </c>
      <c r="C374" s="2" t="s">
        <v>214</v>
      </c>
      <c r="D374" s="3">
        <v>976977</v>
      </c>
      <c r="E374" s="3">
        <v>2099</v>
      </c>
      <c r="F374" s="3">
        <v>1884</v>
      </c>
      <c r="G374" s="3">
        <v>980960</v>
      </c>
      <c r="H374" s="3">
        <v>1349856685</v>
      </c>
      <c r="I374" s="3">
        <v>5777252347</v>
      </c>
      <c r="J374" s="3">
        <v>7127109032</v>
      </c>
      <c r="K374" s="4">
        <v>0.65721000000000007</v>
      </c>
      <c r="L374" s="3">
        <f t="shared" si="5"/>
        <v>7265.4430680150053</v>
      </c>
    </row>
    <row r="375" spans="1:12" x14ac:dyDescent="0.25">
      <c r="A375" s="5" t="s">
        <v>18</v>
      </c>
      <c r="B375" s="5" t="s">
        <v>19</v>
      </c>
      <c r="C375" s="5" t="s">
        <v>214</v>
      </c>
      <c r="D375" s="6">
        <v>976977</v>
      </c>
      <c r="E375" s="6">
        <v>2099</v>
      </c>
      <c r="F375" s="6">
        <v>1884</v>
      </c>
      <c r="G375" s="6">
        <v>980960</v>
      </c>
      <c r="H375" s="6">
        <v>1390174031</v>
      </c>
      <c r="I375" s="6">
        <v>5970738360</v>
      </c>
      <c r="J375" s="6">
        <v>7360912391</v>
      </c>
      <c r="K375" s="7">
        <v>0.65642</v>
      </c>
      <c r="L375" s="6">
        <f t="shared" si="5"/>
        <v>7503.7844468683743</v>
      </c>
    </row>
    <row r="376" spans="1:12" x14ac:dyDescent="0.25">
      <c r="A376" s="2" t="s">
        <v>18</v>
      </c>
      <c r="B376" s="2" t="s">
        <v>19</v>
      </c>
      <c r="C376" s="2" t="s">
        <v>20</v>
      </c>
      <c r="D376" s="3">
        <v>961131</v>
      </c>
      <c r="E376" s="3">
        <v>2566</v>
      </c>
      <c r="F376" s="3">
        <v>1753</v>
      </c>
      <c r="G376" s="3">
        <v>965450</v>
      </c>
      <c r="H376" s="3">
        <v>1390174033</v>
      </c>
      <c r="I376" s="3">
        <v>5980171123</v>
      </c>
      <c r="J376" s="3">
        <v>7370345156</v>
      </c>
      <c r="K376" s="4">
        <v>0.65725999999999996</v>
      </c>
      <c r="L376" s="3">
        <f t="shared" si="5"/>
        <v>7634.1034294888395</v>
      </c>
    </row>
    <row r="377" spans="1:12" x14ac:dyDescent="0.25">
      <c r="A377" s="5" t="s">
        <v>26</v>
      </c>
      <c r="B377" s="5" t="s">
        <v>27</v>
      </c>
      <c r="C377" s="5" t="s">
        <v>224</v>
      </c>
      <c r="D377" s="6">
        <v>209395</v>
      </c>
      <c r="E377" s="6">
        <v>12239</v>
      </c>
      <c r="F377" s="6">
        <v>997</v>
      </c>
      <c r="G377" s="6">
        <v>222631</v>
      </c>
      <c r="H377" s="6">
        <v>387552873</v>
      </c>
      <c r="I377" s="6">
        <v>4738319130</v>
      </c>
      <c r="J377" s="6">
        <v>5125872003</v>
      </c>
      <c r="K377" s="7">
        <v>0.52282753999999998</v>
      </c>
      <c r="L377" s="6">
        <f t="shared" si="5"/>
        <v>23024.071234464202</v>
      </c>
    </row>
    <row r="378" spans="1:12" x14ac:dyDescent="0.25">
      <c r="A378" s="2" t="s">
        <v>26</v>
      </c>
      <c r="B378" s="2" t="s">
        <v>27</v>
      </c>
      <c r="C378" s="2" t="s">
        <v>283</v>
      </c>
      <c r="D378" s="3">
        <v>378819</v>
      </c>
      <c r="E378" s="3">
        <v>12572</v>
      </c>
      <c r="F378" s="3">
        <v>1222</v>
      </c>
      <c r="G378" s="3">
        <v>392613</v>
      </c>
      <c r="H378" s="3">
        <v>384575906</v>
      </c>
      <c r="I378" s="3">
        <v>4757466114</v>
      </c>
      <c r="J378" s="3">
        <v>5142042020</v>
      </c>
      <c r="K378" s="4">
        <v>0.52450000000000008</v>
      </c>
      <c r="L378" s="3">
        <f t="shared" si="5"/>
        <v>13096.973406382367</v>
      </c>
    </row>
    <row r="379" spans="1:12" x14ac:dyDescent="0.25">
      <c r="A379" s="5" t="s">
        <v>26</v>
      </c>
      <c r="B379" s="5" t="s">
        <v>27</v>
      </c>
      <c r="C379" s="5" t="s">
        <v>338</v>
      </c>
      <c r="D379" s="6">
        <v>491554</v>
      </c>
      <c r="E379" s="6">
        <v>11554</v>
      </c>
      <c r="F379" s="6">
        <v>1222</v>
      </c>
      <c r="G379" s="6">
        <v>504330</v>
      </c>
      <c r="H379" s="6">
        <v>385293206</v>
      </c>
      <c r="I379" s="6">
        <v>4780002924</v>
      </c>
      <c r="J379" s="6">
        <v>5165296130</v>
      </c>
      <c r="K379" s="7">
        <v>0.52684871999999994</v>
      </c>
      <c r="L379" s="6">
        <f t="shared" si="5"/>
        <v>10241.897428271172</v>
      </c>
    </row>
    <row r="380" spans="1:12" x14ac:dyDescent="0.25">
      <c r="A380" s="2" t="s">
        <v>26</v>
      </c>
      <c r="B380" s="2" t="s">
        <v>27</v>
      </c>
      <c r="C380" s="2" t="s">
        <v>292</v>
      </c>
      <c r="D380" s="3">
        <v>458530</v>
      </c>
      <c r="E380" s="3">
        <v>12734</v>
      </c>
      <c r="F380" s="3">
        <v>1548</v>
      </c>
      <c r="G380" s="3">
        <v>472812</v>
      </c>
      <c r="H380" s="3">
        <v>384272066</v>
      </c>
      <c r="I380" s="3">
        <v>4799907051</v>
      </c>
      <c r="J380" s="3">
        <v>5184179117</v>
      </c>
      <c r="K380" s="4">
        <v>0.52877474000000002</v>
      </c>
      <c r="L380" s="3">
        <f t="shared" si="5"/>
        <v>10964.567559622006</v>
      </c>
    </row>
    <row r="381" spans="1:12" x14ac:dyDescent="0.25">
      <c r="A381" s="5" t="s">
        <v>26</v>
      </c>
      <c r="B381" s="5" t="s">
        <v>27</v>
      </c>
      <c r="C381" s="5" t="s">
        <v>339</v>
      </c>
      <c r="D381" s="6">
        <v>464049</v>
      </c>
      <c r="E381" s="6">
        <v>12903</v>
      </c>
      <c r="F381" s="6">
        <v>1422</v>
      </c>
      <c r="G381" s="6">
        <v>478374</v>
      </c>
      <c r="H381" s="6">
        <v>384672066</v>
      </c>
      <c r="I381" s="6">
        <v>4800834364</v>
      </c>
      <c r="J381" s="6">
        <v>5185506430</v>
      </c>
      <c r="K381" s="7">
        <v>0.52890999999999999</v>
      </c>
      <c r="L381" s="6">
        <f t="shared" si="5"/>
        <v>10839.858416218272</v>
      </c>
    </row>
    <row r="382" spans="1:12" x14ac:dyDescent="0.25">
      <c r="A382" s="2" t="s">
        <v>26</v>
      </c>
      <c r="B382" s="2" t="s">
        <v>27</v>
      </c>
      <c r="C382" s="2" t="s">
        <v>330</v>
      </c>
      <c r="D382" s="3">
        <v>513029</v>
      </c>
      <c r="E382" s="3">
        <v>13414</v>
      </c>
      <c r="F382" s="3">
        <v>1569</v>
      </c>
      <c r="G382" s="3">
        <v>528012</v>
      </c>
      <c r="H382" s="3">
        <v>402586896</v>
      </c>
      <c r="I382" s="3">
        <v>4791715383</v>
      </c>
      <c r="J382" s="3">
        <v>5194302279</v>
      </c>
      <c r="K382" s="4">
        <v>0.52981</v>
      </c>
      <c r="L382" s="3">
        <f t="shared" si="5"/>
        <v>9837.4701313606511</v>
      </c>
    </row>
    <row r="383" spans="1:12" x14ac:dyDescent="0.25">
      <c r="A383" s="5" t="s">
        <v>26</v>
      </c>
      <c r="B383" s="5" t="s">
        <v>27</v>
      </c>
      <c r="C383" s="5" t="s">
        <v>165</v>
      </c>
      <c r="D383" s="6">
        <v>512628</v>
      </c>
      <c r="E383" s="6">
        <v>12896</v>
      </c>
      <c r="F383" s="6">
        <v>1382</v>
      </c>
      <c r="G383" s="6">
        <v>526906</v>
      </c>
      <c r="H383" s="6">
        <v>442845595</v>
      </c>
      <c r="I383" s="6">
        <v>5279280090</v>
      </c>
      <c r="J383" s="6">
        <v>5722125685</v>
      </c>
      <c r="K383" s="7">
        <v>0.53059000000000001</v>
      </c>
      <c r="L383" s="6">
        <f t="shared" si="5"/>
        <v>10859.860553874885</v>
      </c>
    </row>
    <row r="384" spans="1:12" x14ac:dyDescent="0.25">
      <c r="A384" s="2" t="s">
        <v>26</v>
      </c>
      <c r="B384" s="2" t="s">
        <v>27</v>
      </c>
      <c r="C384" s="2" t="s">
        <v>103</v>
      </c>
      <c r="D384" s="3">
        <v>604416</v>
      </c>
      <c r="E384" s="3">
        <v>12824</v>
      </c>
      <c r="F384" s="3">
        <v>814</v>
      </c>
      <c r="G384" s="3">
        <v>618054</v>
      </c>
      <c r="H384" s="3">
        <v>456130473</v>
      </c>
      <c r="I384" s="3">
        <v>5337615780</v>
      </c>
      <c r="J384" s="3">
        <v>5793746253</v>
      </c>
      <c r="K384" s="4">
        <v>0.52542</v>
      </c>
      <c r="L384" s="3">
        <f t="shared" si="5"/>
        <v>9374.174834237785</v>
      </c>
    </row>
    <row r="385" spans="1:12" x14ac:dyDescent="0.25">
      <c r="A385" s="5" t="s">
        <v>26</v>
      </c>
      <c r="B385" s="5" t="s">
        <v>27</v>
      </c>
      <c r="C385" s="5" t="s">
        <v>28</v>
      </c>
      <c r="D385" s="6">
        <v>653637</v>
      </c>
      <c r="E385" s="6">
        <v>12764</v>
      </c>
      <c r="F385" s="6">
        <v>1397</v>
      </c>
      <c r="G385" s="6">
        <v>667798</v>
      </c>
      <c r="H385" s="6">
        <v>456130473</v>
      </c>
      <c r="I385" s="6">
        <v>5337898685</v>
      </c>
      <c r="J385" s="6">
        <v>5794029158</v>
      </c>
      <c r="K385" s="7">
        <v>0.52544999999999997</v>
      </c>
      <c r="L385" s="6">
        <f t="shared" si="5"/>
        <v>8676.3200219227965</v>
      </c>
    </row>
    <row r="386" spans="1:12" x14ac:dyDescent="0.25">
      <c r="A386" s="2" t="s">
        <v>29</v>
      </c>
      <c r="B386" s="2" t="s">
        <v>30</v>
      </c>
      <c r="C386" s="2" t="s">
        <v>340</v>
      </c>
      <c r="D386" s="3">
        <v>10886</v>
      </c>
      <c r="E386" s="3">
        <v>1204</v>
      </c>
      <c r="F386" s="3">
        <v>753</v>
      </c>
      <c r="G386" s="3">
        <v>12843</v>
      </c>
      <c r="H386" s="3">
        <v>591009862</v>
      </c>
      <c r="I386" s="3">
        <v>2186276923</v>
      </c>
      <c r="J386" s="3">
        <v>2777286785</v>
      </c>
      <c r="K386" s="4">
        <v>0.51340000000000008</v>
      </c>
      <c r="L386" s="3">
        <f t="shared" ref="L386:L449" si="6">IFERROR(J386/G386,"")</f>
        <v>216249.06836408938</v>
      </c>
    </row>
    <row r="387" spans="1:12" x14ac:dyDescent="0.25">
      <c r="A387" s="5" t="s">
        <v>29</v>
      </c>
      <c r="B387" s="5" t="s">
        <v>30</v>
      </c>
      <c r="C387" s="5" t="s">
        <v>263</v>
      </c>
      <c r="D387" s="6">
        <v>18816</v>
      </c>
      <c r="E387" s="6">
        <v>1250</v>
      </c>
      <c r="F387" s="6">
        <v>35</v>
      </c>
      <c r="G387" s="6">
        <v>20101</v>
      </c>
      <c r="H387" s="6">
        <v>637772642</v>
      </c>
      <c r="I387" s="6">
        <v>2373359483</v>
      </c>
      <c r="J387" s="6">
        <v>3011132125</v>
      </c>
      <c r="K387" s="7">
        <v>0.55659999999999998</v>
      </c>
      <c r="L387" s="6">
        <f t="shared" si="6"/>
        <v>149800.11566588728</v>
      </c>
    </row>
    <row r="388" spans="1:12" x14ac:dyDescent="0.25">
      <c r="A388" s="2" t="s">
        <v>29</v>
      </c>
      <c r="B388" s="2" t="s">
        <v>30</v>
      </c>
      <c r="C388" s="2" t="s">
        <v>317</v>
      </c>
      <c r="D388" s="3">
        <v>151816</v>
      </c>
      <c r="E388" s="3">
        <v>1525</v>
      </c>
      <c r="F388" s="3">
        <v>35</v>
      </c>
      <c r="G388" s="3">
        <v>153376</v>
      </c>
      <c r="H388" s="3">
        <v>922294338</v>
      </c>
      <c r="I388" s="3">
        <v>3251977589</v>
      </c>
      <c r="J388" s="3">
        <v>4174271927</v>
      </c>
      <c r="K388" s="4">
        <v>0.74299999999999999</v>
      </c>
      <c r="L388" s="3">
        <f t="shared" si="6"/>
        <v>27215.939436417691</v>
      </c>
    </row>
    <row r="389" spans="1:12" x14ac:dyDescent="0.25">
      <c r="A389" s="5" t="s">
        <v>29</v>
      </c>
      <c r="B389" s="5" t="s">
        <v>30</v>
      </c>
      <c r="C389" s="5" t="s">
        <v>341</v>
      </c>
      <c r="D389" s="6">
        <v>173547</v>
      </c>
      <c r="E389" s="6">
        <v>1751</v>
      </c>
      <c r="F389" s="6">
        <v>56</v>
      </c>
      <c r="G389" s="6">
        <v>175354</v>
      </c>
      <c r="H389" s="6">
        <v>922294338</v>
      </c>
      <c r="I389" s="6">
        <v>3251977589</v>
      </c>
      <c r="J389" s="6">
        <v>4174271927</v>
      </c>
      <c r="K389" s="7">
        <v>0.74299999999999999</v>
      </c>
      <c r="L389" s="6">
        <f t="shared" si="6"/>
        <v>23804.828672285777</v>
      </c>
    </row>
    <row r="390" spans="1:12" x14ac:dyDescent="0.25">
      <c r="A390" s="2" t="s">
        <v>29</v>
      </c>
      <c r="B390" s="2" t="s">
        <v>30</v>
      </c>
      <c r="C390" s="2" t="s">
        <v>342</v>
      </c>
      <c r="D390" s="3">
        <v>252129</v>
      </c>
      <c r="E390" s="3">
        <v>2330</v>
      </c>
      <c r="F390" s="3">
        <v>98</v>
      </c>
      <c r="G390" s="3">
        <v>254557</v>
      </c>
      <c r="H390" s="3">
        <v>701899756</v>
      </c>
      <c r="I390" s="3">
        <v>2864359439</v>
      </c>
      <c r="J390" s="3">
        <v>3566259195</v>
      </c>
      <c r="K390" s="4">
        <v>0.63479999999999992</v>
      </c>
      <c r="L390" s="3">
        <f t="shared" si="6"/>
        <v>14009.66854181971</v>
      </c>
    </row>
    <row r="391" spans="1:12" x14ac:dyDescent="0.25">
      <c r="A391" s="5" t="s">
        <v>29</v>
      </c>
      <c r="B391" s="5" t="s">
        <v>30</v>
      </c>
      <c r="C391" s="5" t="s">
        <v>343</v>
      </c>
      <c r="D391" s="6">
        <v>651147</v>
      </c>
      <c r="E391" s="6">
        <v>1404</v>
      </c>
      <c r="F391" s="6">
        <v>1393</v>
      </c>
      <c r="G391" s="6">
        <v>653944</v>
      </c>
      <c r="H391" s="6">
        <v>887175954</v>
      </c>
      <c r="I391" s="6">
        <v>3063142693</v>
      </c>
      <c r="J391" s="6">
        <v>3950318647</v>
      </c>
      <c r="K391" s="7">
        <v>0.63924000000000003</v>
      </c>
      <c r="L391" s="6">
        <f t="shared" si="6"/>
        <v>6040.7598311170377</v>
      </c>
    </row>
    <row r="392" spans="1:12" x14ac:dyDescent="0.25">
      <c r="A392" s="2" t="s">
        <v>29</v>
      </c>
      <c r="B392" s="2" t="s">
        <v>30</v>
      </c>
      <c r="C392" s="2" t="s">
        <v>343</v>
      </c>
      <c r="D392" s="3">
        <v>651147</v>
      </c>
      <c r="E392" s="3">
        <v>1404</v>
      </c>
      <c r="F392" s="3">
        <v>1393</v>
      </c>
      <c r="G392" s="3">
        <v>653944</v>
      </c>
      <c r="H392" s="3">
        <v>887175954</v>
      </c>
      <c r="I392" s="3">
        <v>3063142693</v>
      </c>
      <c r="J392" s="3">
        <v>3950318647</v>
      </c>
      <c r="K392" s="4">
        <v>0.63924000000000003</v>
      </c>
      <c r="L392" s="3">
        <f t="shared" si="6"/>
        <v>6040.7598311170377</v>
      </c>
    </row>
    <row r="393" spans="1:12" x14ac:dyDescent="0.25">
      <c r="A393" s="5" t="s">
        <v>29</v>
      </c>
      <c r="B393" s="5" t="s">
        <v>30</v>
      </c>
      <c r="C393" s="5" t="s">
        <v>344</v>
      </c>
      <c r="D393" s="6">
        <v>657952</v>
      </c>
      <c r="E393" s="6">
        <v>1156</v>
      </c>
      <c r="F393" s="6">
        <v>1384</v>
      </c>
      <c r="G393" s="6">
        <v>660492</v>
      </c>
      <c r="H393" s="6">
        <v>764004204</v>
      </c>
      <c r="I393" s="6">
        <v>3067622705</v>
      </c>
      <c r="J393" s="6">
        <v>3831626909</v>
      </c>
      <c r="K393" s="7">
        <v>0.6139</v>
      </c>
      <c r="L393" s="6">
        <f t="shared" si="6"/>
        <v>5801.1708075192437</v>
      </c>
    </row>
    <row r="394" spans="1:12" x14ac:dyDescent="0.25">
      <c r="A394" s="2" t="s">
        <v>29</v>
      </c>
      <c r="B394" s="2" t="s">
        <v>30</v>
      </c>
      <c r="C394" s="2" t="s">
        <v>31</v>
      </c>
      <c r="D394" s="3">
        <v>661270</v>
      </c>
      <c r="E394" s="3">
        <v>1218</v>
      </c>
      <c r="F394" s="3">
        <v>1322</v>
      </c>
      <c r="G394" s="3">
        <v>663810</v>
      </c>
      <c r="H394" s="3">
        <v>786869850</v>
      </c>
      <c r="I394" s="3">
        <v>3314588213</v>
      </c>
      <c r="J394" s="3">
        <v>4101458063</v>
      </c>
      <c r="K394" s="4">
        <v>0.65720000000000001</v>
      </c>
      <c r="L394" s="3">
        <f t="shared" si="6"/>
        <v>6178.6626640153054</v>
      </c>
    </row>
    <row r="395" spans="1:12" x14ac:dyDescent="0.25">
      <c r="A395" s="5" t="s">
        <v>143</v>
      </c>
      <c r="B395" s="5" t="s">
        <v>144</v>
      </c>
      <c r="C395" s="5" t="s">
        <v>204</v>
      </c>
      <c r="D395" s="6">
        <v>31514</v>
      </c>
      <c r="E395" s="6">
        <v>488</v>
      </c>
      <c r="F395" s="6">
        <v>176</v>
      </c>
      <c r="G395" s="6">
        <v>32178</v>
      </c>
      <c r="H395" s="6">
        <v>203934060</v>
      </c>
      <c r="I395" s="6">
        <v>0</v>
      </c>
      <c r="J395" s="6">
        <v>203934060</v>
      </c>
      <c r="K395" s="7">
        <v>1</v>
      </c>
      <c r="L395" s="6">
        <f t="shared" si="6"/>
        <v>6337.6859966436696</v>
      </c>
    </row>
    <row r="396" spans="1:12" x14ac:dyDescent="0.25">
      <c r="A396" s="2" t="s">
        <v>143</v>
      </c>
      <c r="B396" s="2" t="s">
        <v>144</v>
      </c>
      <c r="C396" s="2" t="s">
        <v>345</v>
      </c>
      <c r="D396" s="3">
        <v>31836</v>
      </c>
      <c r="E396" s="3">
        <v>535</v>
      </c>
      <c r="F396" s="3">
        <v>154</v>
      </c>
      <c r="G396" s="3">
        <v>32525</v>
      </c>
      <c r="H396" s="3">
        <v>303934060</v>
      </c>
      <c r="I396" s="3">
        <v>0</v>
      </c>
      <c r="J396" s="3">
        <v>303934060</v>
      </c>
      <c r="K396" s="4">
        <v>1</v>
      </c>
      <c r="L396" s="3">
        <f t="shared" si="6"/>
        <v>9344.6290545734046</v>
      </c>
    </row>
    <row r="397" spans="1:12" x14ac:dyDescent="0.25">
      <c r="A397" s="5" t="s">
        <v>143</v>
      </c>
      <c r="B397" s="5" t="s">
        <v>144</v>
      </c>
      <c r="C397" s="5" t="s">
        <v>346</v>
      </c>
      <c r="D397" s="6">
        <v>26009</v>
      </c>
      <c r="E397" s="6">
        <v>10263</v>
      </c>
      <c r="F397" s="6">
        <v>971</v>
      </c>
      <c r="G397" s="6">
        <v>37243</v>
      </c>
      <c r="H397" s="6">
        <v>372555324</v>
      </c>
      <c r="I397" s="6">
        <v>0</v>
      </c>
      <c r="J397" s="6">
        <v>372555324</v>
      </c>
      <c r="K397" s="7">
        <v>1</v>
      </c>
      <c r="L397" s="6">
        <f t="shared" si="6"/>
        <v>10003.365035040142</v>
      </c>
    </row>
    <row r="398" spans="1:12" x14ac:dyDescent="0.25">
      <c r="A398" s="2" t="s">
        <v>143</v>
      </c>
      <c r="B398" s="2" t="s">
        <v>144</v>
      </c>
      <c r="C398" s="2" t="s">
        <v>199</v>
      </c>
      <c r="D398" s="3">
        <v>26265</v>
      </c>
      <c r="E398" s="3">
        <v>10263</v>
      </c>
      <c r="F398" s="3">
        <v>872</v>
      </c>
      <c r="G398" s="3">
        <v>37400</v>
      </c>
      <c r="H398" s="3">
        <v>372555324</v>
      </c>
      <c r="I398" s="3">
        <v>0</v>
      </c>
      <c r="J398" s="3">
        <v>372555324</v>
      </c>
      <c r="K398" s="4">
        <v>1</v>
      </c>
      <c r="L398" s="3">
        <f t="shared" si="6"/>
        <v>9961.3722994652398</v>
      </c>
    </row>
    <row r="399" spans="1:12" x14ac:dyDescent="0.25">
      <c r="A399" s="5" t="s">
        <v>143</v>
      </c>
      <c r="B399" s="5" t="s">
        <v>144</v>
      </c>
      <c r="C399" s="5" t="s">
        <v>211</v>
      </c>
      <c r="D399" s="6">
        <v>13074</v>
      </c>
      <c r="E399" s="6">
        <v>696</v>
      </c>
      <c r="F399" s="6">
        <v>54</v>
      </c>
      <c r="G399" s="6">
        <v>13824</v>
      </c>
      <c r="H399" s="6">
        <v>372062524</v>
      </c>
      <c r="I399" s="6">
        <v>0</v>
      </c>
      <c r="J399" s="6">
        <v>372062524</v>
      </c>
      <c r="K399" s="7">
        <v>0.99867723999999991</v>
      </c>
      <c r="L399" s="6">
        <f t="shared" si="6"/>
        <v>26914.245081018518</v>
      </c>
    </row>
    <row r="400" spans="1:12" x14ac:dyDescent="0.25">
      <c r="A400" s="2" t="s">
        <v>143</v>
      </c>
      <c r="B400" s="2" t="s">
        <v>144</v>
      </c>
      <c r="C400" s="2" t="s">
        <v>182</v>
      </c>
      <c r="D400" s="3">
        <v>18995</v>
      </c>
      <c r="E400" s="3">
        <v>156</v>
      </c>
      <c r="F400" s="3">
        <v>148</v>
      </c>
      <c r="G400" s="3">
        <v>19299</v>
      </c>
      <c r="H400" s="3">
        <v>371832624</v>
      </c>
      <c r="I400" s="3">
        <v>0</v>
      </c>
      <c r="J400" s="3">
        <v>371832624</v>
      </c>
      <c r="K400" s="4">
        <v>0.99807000000000001</v>
      </c>
      <c r="L400" s="3">
        <f t="shared" si="6"/>
        <v>19266.937354267062</v>
      </c>
    </row>
    <row r="401" spans="1:12" x14ac:dyDescent="0.25">
      <c r="A401" s="5" t="s">
        <v>143</v>
      </c>
      <c r="B401" s="5" t="s">
        <v>144</v>
      </c>
      <c r="C401" s="5" t="s">
        <v>183</v>
      </c>
      <c r="D401" s="6">
        <v>13997</v>
      </c>
      <c r="E401" s="6">
        <v>256</v>
      </c>
      <c r="F401" s="6">
        <v>186</v>
      </c>
      <c r="G401" s="6">
        <v>14439</v>
      </c>
      <c r="H401" s="6">
        <v>372549624</v>
      </c>
      <c r="I401" s="6">
        <v>0</v>
      </c>
      <c r="J401" s="6">
        <v>372549624</v>
      </c>
      <c r="K401" s="7">
        <v>0.99998000000000009</v>
      </c>
      <c r="L401" s="6">
        <f t="shared" si="6"/>
        <v>25801.622273010595</v>
      </c>
    </row>
    <row r="402" spans="1:12" x14ac:dyDescent="0.25">
      <c r="A402" s="2" t="s">
        <v>143</v>
      </c>
      <c r="B402" s="2" t="s">
        <v>144</v>
      </c>
      <c r="C402" s="2" t="s">
        <v>214</v>
      </c>
      <c r="D402" s="3">
        <v>11878</v>
      </c>
      <c r="E402" s="3">
        <v>207</v>
      </c>
      <c r="F402" s="3">
        <v>150</v>
      </c>
      <c r="G402" s="3">
        <v>12235</v>
      </c>
      <c r="H402" s="3">
        <v>372555324</v>
      </c>
      <c r="I402" s="3">
        <v>0</v>
      </c>
      <c r="J402" s="3">
        <v>372555324</v>
      </c>
      <c r="K402" s="4">
        <v>1</v>
      </c>
      <c r="L402" s="3">
        <f t="shared" si="6"/>
        <v>30449.965181855332</v>
      </c>
    </row>
    <row r="403" spans="1:12" x14ac:dyDescent="0.25">
      <c r="A403" s="5" t="s">
        <v>143</v>
      </c>
      <c r="B403" s="5" t="s">
        <v>144</v>
      </c>
      <c r="C403" s="5" t="s">
        <v>145</v>
      </c>
      <c r="D403" s="6">
        <v>27060</v>
      </c>
      <c r="E403" s="6">
        <v>11</v>
      </c>
      <c r="F403" s="6">
        <v>863</v>
      </c>
      <c r="G403" s="6">
        <v>27934</v>
      </c>
      <c r="H403" s="6">
        <v>1603651339</v>
      </c>
      <c r="I403" s="6">
        <v>0</v>
      </c>
      <c r="J403" s="6">
        <v>1603651339</v>
      </c>
      <c r="K403" s="7">
        <v>0.99563000000000001</v>
      </c>
      <c r="L403" s="6">
        <f t="shared" si="6"/>
        <v>57408.582336937063</v>
      </c>
    </row>
    <row r="404" spans="1:12" x14ac:dyDescent="0.25">
      <c r="A404" s="2" t="s">
        <v>80</v>
      </c>
      <c r="B404" s="2" t="s">
        <v>81</v>
      </c>
      <c r="C404" s="2" t="s">
        <v>327</v>
      </c>
      <c r="D404" s="3">
        <v>11384</v>
      </c>
      <c r="E404" s="3">
        <v>953</v>
      </c>
      <c r="F404" s="3">
        <v>950</v>
      </c>
      <c r="G404" s="3">
        <v>13287</v>
      </c>
      <c r="H404" s="3">
        <v>781159038</v>
      </c>
      <c r="I404" s="3">
        <v>0</v>
      </c>
      <c r="J404" s="3">
        <v>781159038</v>
      </c>
      <c r="K404" s="4">
        <v>0.98629999999999995</v>
      </c>
      <c r="L404" s="3">
        <f t="shared" si="6"/>
        <v>58791.227365093699</v>
      </c>
    </row>
    <row r="405" spans="1:12" x14ac:dyDescent="0.25">
      <c r="A405" s="5" t="s">
        <v>80</v>
      </c>
      <c r="B405" s="5" t="s">
        <v>81</v>
      </c>
      <c r="C405" s="5" t="s">
        <v>347</v>
      </c>
      <c r="D405" s="6">
        <v>22406</v>
      </c>
      <c r="E405" s="6">
        <v>332</v>
      </c>
      <c r="F405" s="6">
        <v>1685</v>
      </c>
      <c r="G405" s="6">
        <v>24423</v>
      </c>
      <c r="H405" s="6">
        <v>785308019</v>
      </c>
      <c r="I405" s="6">
        <v>0</v>
      </c>
      <c r="J405" s="6">
        <v>785308019</v>
      </c>
      <c r="K405" s="7">
        <v>0.98709999999999998</v>
      </c>
      <c r="L405" s="6">
        <f t="shared" si="6"/>
        <v>32154.445358883018</v>
      </c>
    </row>
    <row r="406" spans="1:12" x14ac:dyDescent="0.25">
      <c r="A406" s="2" t="s">
        <v>80</v>
      </c>
      <c r="B406" s="2" t="s">
        <v>81</v>
      </c>
      <c r="C406" s="2" t="s">
        <v>197</v>
      </c>
      <c r="D406" s="3">
        <v>81453</v>
      </c>
      <c r="E406" s="3">
        <v>684</v>
      </c>
      <c r="F406" s="3">
        <v>2030</v>
      </c>
      <c r="G406" s="3">
        <v>84167</v>
      </c>
      <c r="H406" s="3">
        <v>785417914</v>
      </c>
      <c r="I406" s="3">
        <v>0</v>
      </c>
      <c r="J406" s="3">
        <v>785417914</v>
      </c>
      <c r="K406" s="4">
        <v>0.98719999999999997</v>
      </c>
      <c r="L406" s="3">
        <f t="shared" si="6"/>
        <v>9331.6610310454216</v>
      </c>
    </row>
    <row r="407" spans="1:12" x14ac:dyDescent="0.25">
      <c r="A407" s="5" t="s">
        <v>80</v>
      </c>
      <c r="B407" s="5" t="s">
        <v>81</v>
      </c>
      <c r="C407" s="5" t="s">
        <v>199</v>
      </c>
      <c r="D407" s="6">
        <v>127635</v>
      </c>
      <c r="E407" s="6">
        <v>656</v>
      </c>
      <c r="F407" s="6">
        <v>2200</v>
      </c>
      <c r="G407" s="6">
        <v>130491</v>
      </c>
      <c r="H407" s="6">
        <v>977821540</v>
      </c>
      <c r="I407" s="6">
        <v>0</v>
      </c>
      <c r="J407" s="6">
        <v>977821540</v>
      </c>
      <c r="K407" s="7">
        <v>0.9889</v>
      </c>
      <c r="L407" s="6">
        <f t="shared" si="6"/>
        <v>7493.4021503398699</v>
      </c>
    </row>
    <row r="408" spans="1:12" x14ac:dyDescent="0.25">
      <c r="A408" s="2" t="s">
        <v>80</v>
      </c>
      <c r="B408" s="2" t="s">
        <v>81</v>
      </c>
      <c r="C408" s="2" t="s">
        <v>211</v>
      </c>
      <c r="D408" s="3">
        <v>144049</v>
      </c>
      <c r="E408" s="3">
        <v>996</v>
      </c>
      <c r="F408" s="3">
        <v>1791</v>
      </c>
      <c r="G408" s="3">
        <v>146836</v>
      </c>
      <c r="H408" s="3">
        <v>950702967</v>
      </c>
      <c r="I408" s="3">
        <v>0</v>
      </c>
      <c r="J408" s="3">
        <v>950702967</v>
      </c>
      <c r="K408" s="4">
        <v>0.98699999999999999</v>
      </c>
      <c r="L408" s="3">
        <f t="shared" si="6"/>
        <v>6474.5904750878535</v>
      </c>
    </row>
    <row r="409" spans="1:12" x14ac:dyDescent="0.25">
      <c r="A409" s="5" t="s">
        <v>80</v>
      </c>
      <c r="B409" s="5" t="s">
        <v>81</v>
      </c>
      <c r="C409" s="5" t="s">
        <v>336</v>
      </c>
      <c r="D409" s="6">
        <v>135379</v>
      </c>
      <c r="E409" s="6">
        <v>901</v>
      </c>
      <c r="F409" s="6">
        <v>2001</v>
      </c>
      <c r="G409" s="6">
        <v>138281</v>
      </c>
      <c r="H409" s="6">
        <v>951452770</v>
      </c>
      <c r="I409" s="6">
        <v>0</v>
      </c>
      <c r="J409" s="6">
        <v>951452770</v>
      </c>
      <c r="K409" s="7">
        <v>0.9877800000000001</v>
      </c>
      <c r="L409" s="6">
        <f t="shared" si="6"/>
        <v>6880.5748439771187</v>
      </c>
    </row>
    <row r="410" spans="1:12" x14ac:dyDescent="0.25">
      <c r="A410" s="2" t="s">
        <v>80</v>
      </c>
      <c r="B410" s="2" t="s">
        <v>81</v>
      </c>
      <c r="C410" s="2" t="s">
        <v>257</v>
      </c>
      <c r="D410" s="3">
        <v>114417</v>
      </c>
      <c r="E410" s="3">
        <v>862</v>
      </c>
      <c r="F410" s="3">
        <v>1668</v>
      </c>
      <c r="G410" s="3">
        <v>116947</v>
      </c>
      <c r="H410" s="3">
        <v>1030587204</v>
      </c>
      <c r="I410" s="3">
        <v>0</v>
      </c>
      <c r="J410" s="3">
        <v>1030587204</v>
      </c>
      <c r="K410" s="4">
        <v>0.97266999999999992</v>
      </c>
      <c r="L410" s="3">
        <f t="shared" si="6"/>
        <v>8812.4295963128588</v>
      </c>
    </row>
    <row r="411" spans="1:12" x14ac:dyDescent="0.25">
      <c r="A411" s="5" t="s">
        <v>80</v>
      </c>
      <c r="B411" s="5" t="s">
        <v>81</v>
      </c>
      <c r="C411" s="5" t="s">
        <v>208</v>
      </c>
      <c r="D411" s="6">
        <v>104567</v>
      </c>
      <c r="E411" s="6">
        <v>534</v>
      </c>
      <c r="F411" s="6">
        <v>1393</v>
      </c>
      <c r="G411" s="6">
        <v>106494</v>
      </c>
      <c r="H411" s="6">
        <v>982593716</v>
      </c>
      <c r="I411" s="6">
        <v>0</v>
      </c>
      <c r="J411" s="6">
        <v>982593716</v>
      </c>
      <c r="K411" s="7">
        <v>0.97590999999999994</v>
      </c>
      <c r="L411" s="6">
        <f t="shared" si="6"/>
        <v>9226.7518921253777</v>
      </c>
    </row>
    <row r="412" spans="1:12" x14ac:dyDescent="0.25">
      <c r="A412" s="2" t="s">
        <v>80</v>
      </c>
      <c r="B412" s="2" t="s">
        <v>81</v>
      </c>
      <c r="C412" s="2" t="s">
        <v>14</v>
      </c>
      <c r="D412" s="3">
        <v>102907</v>
      </c>
      <c r="E412" s="3">
        <v>555</v>
      </c>
      <c r="F412" s="3">
        <v>1225</v>
      </c>
      <c r="G412" s="3">
        <v>104687</v>
      </c>
      <c r="H412" s="3">
        <v>947858690</v>
      </c>
      <c r="I412" s="3">
        <v>0</v>
      </c>
      <c r="J412" s="3">
        <v>947858690</v>
      </c>
      <c r="K412" s="4">
        <v>0.94141000000000008</v>
      </c>
      <c r="L412" s="3">
        <f t="shared" si="6"/>
        <v>9054.2158052098166</v>
      </c>
    </row>
    <row r="413" spans="1:12" x14ac:dyDescent="0.25">
      <c r="A413" s="5" t="s">
        <v>130</v>
      </c>
      <c r="B413" s="5" t="s">
        <v>131</v>
      </c>
      <c r="C413" s="5" t="s">
        <v>332</v>
      </c>
      <c r="D413" s="6">
        <v>16610</v>
      </c>
      <c r="E413" s="6">
        <v>169</v>
      </c>
      <c r="F413" s="6">
        <v>300</v>
      </c>
      <c r="G413" s="6">
        <v>17079</v>
      </c>
      <c r="H413" s="6">
        <v>82490635</v>
      </c>
      <c r="I413" s="6">
        <v>0</v>
      </c>
      <c r="J413" s="6">
        <v>82490635</v>
      </c>
      <c r="K413" s="7">
        <v>0.65528090999999999</v>
      </c>
      <c r="L413" s="6">
        <f t="shared" si="6"/>
        <v>4829.9452544059959</v>
      </c>
    </row>
    <row r="414" spans="1:12" x14ac:dyDescent="0.25">
      <c r="A414" s="2" t="s">
        <v>130</v>
      </c>
      <c r="B414" s="2" t="s">
        <v>131</v>
      </c>
      <c r="C414" s="2" t="s">
        <v>255</v>
      </c>
      <c r="D414" s="3">
        <v>58302</v>
      </c>
      <c r="E414" s="3">
        <v>844</v>
      </c>
      <c r="F414" s="3">
        <v>716</v>
      </c>
      <c r="G414" s="3">
        <v>59862</v>
      </c>
      <c r="H414" s="3">
        <v>427663748</v>
      </c>
      <c r="I414" s="3">
        <v>0</v>
      </c>
      <c r="J414" s="3">
        <v>427663748</v>
      </c>
      <c r="K414" s="4">
        <v>0.73047253999999995</v>
      </c>
      <c r="L414" s="3">
        <f t="shared" si="6"/>
        <v>7144.1607029501183</v>
      </c>
    </row>
    <row r="415" spans="1:12" x14ac:dyDescent="0.25">
      <c r="A415" s="5" t="s">
        <v>130</v>
      </c>
      <c r="B415" s="5" t="s">
        <v>131</v>
      </c>
      <c r="C415" s="5" t="s">
        <v>348</v>
      </c>
      <c r="D415" s="6">
        <v>60372</v>
      </c>
      <c r="E415" s="6">
        <v>1000</v>
      </c>
      <c r="F415" s="6">
        <v>729</v>
      </c>
      <c r="G415" s="6">
        <v>62101</v>
      </c>
      <c r="H415" s="6">
        <v>418965264</v>
      </c>
      <c r="I415" s="6">
        <v>0</v>
      </c>
      <c r="J415" s="6">
        <v>418965264</v>
      </c>
      <c r="K415" s="7">
        <v>0.70981302000000002</v>
      </c>
      <c r="L415" s="6">
        <f t="shared" si="6"/>
        <v>6746.5139691792401</v>
      </c>
    </row>
    <row r="416" spans="1:12" x14ac:dyDescent="0.25">
      <c r="A416" s="2" t="s">
        <v>130</v>
      </c>
      <c r="B416" s="2" t="s">
        <v>131</v>
      </c>
      <c r="C416" s="2" t="s">
        <v>226</v>
      </c>
      <c r="D416" s="3">
        <v>60372</v>
      </c>
      <c r="E416" s="3">
        <v>1000</v>
      </c>
      <c r="F416" s="3">
        <v>729</v>
      </c>
      <c r="G416" s="3">
        <v>62101</v>
      </c>
      <c r="H416" s="3">
        <v>430778874</v>
      </c>
      <c r="I416" s="3">
        <v>0</v>
      </c>
      <c r="J416" s="3">
        <v>430778874</v>
      </c>
      <c r="K416" s="4">
        <v>0.72510698000000007</v>
      </c>
      <c r="L416" s="3">
        <f t="shared" si="6"/>
        <v>6936.7461715592344</v>
      </c>
    </row>
    <row r="417" spans="1:12" x14ac:dyDescent="0.25">
      <c r="A417" s="5" t="s">
        <v>130</v>
      </c>
      <c r="B417" s="5" t="s">
        <v>131</v>
      </c>
      <c r="C417" s="5" t="s">
        <v>182</v>
      </c>
      <c r="D417" s="6">
        <v>47968</v>
      </c>
      <c r="E417" s="6">
        <v>1062</v>
      </c>
      <c r="F417" s="6">
        <v>1062</v>
      </c>
      <c r="G417" s="6">
        <v>50092</v>
      </c>
      <c r="H417" s="6">
        <v>428737358</v>
      </c>
      <c r="I417" s="6">
        <v>0</v>
      </c>
      <c r="J417" s="6">
        <v>428737358</v>
      </c>
      <c r="K417" s="7">
        <v>0.71828999999999998</v>
      </c>
      <c r="L417" s="6">
        <f t="shared" si="6"/>
        <v>8558.9986025712697</v>
      </c>
    </row>
    <row r="418" spans="1:12" x14ac:dyDescent="0.25">
      <c r="A418" s="2" t="s">
        <v>130</v>
      </c>
      <c r="B418" s="2" t="s">
        <v>131</v>
      </c>
      <c r="C418" s="2" t="s">
        <v>183</v>
      </c>
      <c r="D418" s="3">
        <v>39218</v>
      </c>
      <c r="E418" s="3">
        <v>281</v>
      </c>
      <c r="F418" s="3">
        <v>475</v>
      </c>
      <c r="G418" s="3">
        <v>39974</v>
      </c>
      <c r="H418" s="3">
        <v>388793259</v>
      </c>
      <c r="I418" s="3">
        <v>0</v>
      </c>
      <c r="J418" s="3">
        <v>388793259</v>
      </c>
      <c r="K418" s="4">
        <v>0.69070999999999994</v>
      </c>
      <c r="L418" s="3">
        <f t="shared" si="6"/>
        <v>9726.1534747585938</v>
      </c>
    </row>
    <row r="419" spans="1:12" x14ac:dyDescent="0.25">
      <c r="A419" s="5" t="s">
        <v>130</v>
      </c>
      <c r="B419" s="5" t="s">
        <v>131</v>
      </c>
      <c r="C419" s="5" t="s">
        <v>214</v>
      </c>
      <c r="D419" s="6">
        <v>39859</v>
      </c>
      <c r="E419" s="6">
        <v>314</v>
      </c>
      <c r="F419" s="6">
        <v>475</v>
      </c>
      <c r="G419" s="6">
        <v>40648</v>
      </c>
      <c r="H419" s="6">
        <v>374338847</v>
      </c>
      <c r="I419" s="6">
        <v>0</v>
      </c>
      <c r="J419" s="6">
        <v>374338847</v>
      </c>
      <c r="K419" s="7">
        <v>0.65839999999999999</v>
      </c>
      <c r="L419" s="6">
        <f t="shared" si="6"/>
        <v>9209.2808256248773</v>
      </c>
    </row>
    <row r="420" spans="1:12" x14ac:dyDescent="0.25">
      <c r="A420" s="2" t="s">
        <v>130</v>
      </c>
      <c r="B420" s="2" t="s">
        <v>131</v>
      </c>
      <c r="C420" s="2" t="s">
        <v>20</v>
      </c>
      <c r="D420" s="3">
        <v>36802</v>
      </c>
      <c r="E420" s="3">
        <v>298</v>
      </c>
      <c r="F420" s="3">
        <v>318</v>
      </c>
      <c r="G420" s="3">
        <v>37418</v>
      </c>
      <c r="H420" s="3">
        <v>373751274</v>
      </c>
      <c r="I420" s="3">
        <v>0</v>
      </c>
      <c r="J420" s="3">
        <v>373751274</v>
      </c>
      <c r="K420" s="4">
        <v>0.6795699999999999</v>
      </c>
      <c r="L420" s="3">
        <f t="shared" si="6"/>
        <v>9988.5422523918969</v>
      </c>
    </row>
    <row r="421" spans="1:12" x14ac:dyDescent="0.25">
      <c r="A421" s="5" t="s">
        <v>37</v>
      </c>
      <c r="B421" s="5" t="s">
        <v>38</v>
      </c>
      <c r="C421" s="5" t="s">
        <v>349</v>
      </c>
      <c r="D421" s="6">
        <v>16751</v>
      </c>
      <c r="E421" s="6">
        <v>1585</v>
      </c>
      <c r="F421" s="6">
        <v>1581</v>
      </c>
      <c r="G421" s="6">
        <v>19917</v>
      </c>
      <c r="H421" s="6">
        <v>67597600</v>
      </c>
      <c r="I421" s="6">
        <v>0</v>
      </c>
      <c r="J421" s="6">
        <v>67597600</v>
      </c>
      <c r="K421" s="7">
        <v>0.35467275999999998</v>
      </c>
      <c r="L421" s="6">
        <f t="shared" si="6"/>
        <v>3393.9649545614297</v>
      </c>
    </row>
    <row r="422" spans="1:12" x14ac:dyDescent="0.25">
      <c r="A422" s="2" t="s">
        <v>37</v>
      </c>
      <c r="B422" s="2" t="s">
        <v>38</v>
      </c>
      <c r="C422" s="2" t="s">
        <v>350</v>
      </c>
      <c r="D422" s="3">
        <v>31304</v>
      </c>
      <c r="E422" s="3">
        <v>1358</v>
      </c>
      <c r="F422" s="3">
        <v>454</v>
      </c>
      <c r="G422" s="3">
        <v>33116</v>
      </c>
      <c r="H422" s="3">
        <v>661834080</v>
      </c>
      <c r="I422" s="3">
        <v>0</v>
      </c>
      <c r="J422" s="3">
        <v>661834080</v>
      </c>
      <c r="K422" s="4">
        <v>0.40734976000000001</v>
      </c>
      <c r="L422" s="3">
        <f t="shared" si="6"/>
        <v>19985.326730281435</v>
      </c>
    </row>
    <row r="423" spans="1:12" x14ac:dyDescent="0.25">
      <c r="A423" s="5" t="s">
        <v>37</v>
      </c>
      <c r="B423" s="5" t="s">
        <v>38</v>
      </c>
      <c r="C423" s="5" t="s">
        <v>351</v>
      </c>
      <c r="D423" s="6">
        <v>388643</v>
      </c>
      <c r="E423" s="6">
        <v>1671</v>
      </c>
      <c r="F423" s="6">
        <v>913</v>
      </c>
      <c r="G423" s="6">
        <v>391227</v>
      </c>
      <c r="H423" s="6">
        <v>2668955512</v>
      </c>
      <c r="I423" s="6">
        <v>0</v>
      </c>
      <c r="J423" s="6">
        <v>2668955512</v>
      </c>
      <c r="K423" s="7">
        <v>0.41067633999999997</v>
      </c>
      <c r="L423" s="6">
        <f t="shared" si="6"/>
        <v>6822.012570707032</v>
      </c>
    </row>
    <row r="424" spans="1:12" x14ac:dyDescent="0.25">
      <c r="A424" s="2" t="s">
        <v>37</v>
      </c>
      <c r="B424" s="2" t="s">
        <v>38</v>
      </c>
      <c r="C424" s="2" t="s">
        <v>352</v>
      </c>
      <c r="D424" s="3">
        <v>579661</v>
      </c>
      <c r="E424" s="3">
        <v>2405</v>
      </c>
      <c r="F424" s="3">
        <v>924</v>
      </c>
      <c r="G424" s="3">
        <v>582990</v>
      </c>
      <c r="H424" s="3">
        <v>2896234638</v>
      </c>
      <c r="I424" s="3">
        <v>0</v>
      </c>
      <c r="J424" s="3">
        <v>2896234638</v>
      </c>
      <c r="K424" s="4">
        <v>0.42914003000000001</v>
      </c>
      <c r="L424" s="3">
        <f t="shared" si="6"/>
        <v>4967.8976277466163</v>
      </c>
    </row>
    <row r="425" spans="1:12" x14ac:dyDescent="0.25">
      <c r="A425" s="5" t="s">
        <v>37</v>
      </c>
      <c r="B425" s="5" t="s">
        <v>38</v>
      </c>
      <c r="C425" s="5" t="s">
        <v>353</v>
      </c>
      <c r="D425" s="6">
        <v>579661</v>
      </c>
      <c r="E425" s="6">
        <v>2405</v>
      </c>
      <c r="F425" s="6">
        <v>924</v>
      </c>
      <c r="G425" s="6">
        <v>582990</v>
      </c>
      <c r="H425" s="6">
        <v>2874188573</v>
      </c>
      <c r="I425" s="6">
        <v>0</v>
      </c>
      <c r="J425" s="6">
        <v>2874188573</v>
      </c>
      <c r="K425" s="7">
        <v>0.42587000000000003</v>
      </c>
      <c r="L425" s="6">
        <f t="shared" si="6"/>
        <v>4930.0821163313267</v>
      </c>
    </row>
    <row r="426" spans="1:12" x14ac:dyDescent="0.25">
      <c r="A426" s="2" t="s">
        <v>37</v>
      </c>
      <c r="B426" s="2" t="s">
        <v>38</v>
      </c>
      <c r="C426" s="2" t="s">
        <v>354</v>
      </c>
      <c r="D426" s="3">
        <v>651826</v>
      </c>
      <c r="E426" s="3">
        <v>1610</v>
      </c>
      <c r="F426" s="3">
        <v>888</v>
      </c>
      <c r="G426" s="3">
        <v>654324</v>
      </c>
      <c r="H426" s="3">
        <v>3517574129</v>
      </c>
      <c r="I426" s="3">
        <v>0</v>
      </c>
      <c r="J426" s="3">
        <v>3517574129</v>
      </c>
      <c r="K426" s="4">
        <v>0.47599000000000002</v>
      </c>
      <c r="L426" s="3">
        <f t="shared" si="6"/>
        <v>5375.8904289006668</v>
      </c>
    </row>
    <row r="427" spans="1:12" x14ac:dyDescent="0.25">
      <c r="A427" s="5" t="s">
        <v>37</v>
      </c>
      <c r="B427" s="5" t="s">
        <v>38</v>
      </c>
      <c r="C427" s="5" t="s">
        <v>272</v>
      </c>
      <c r="D427" s="6">
        <v>473643</v>
      </c>
      <c r="E427" s="6">
        <v>1554</v>
      </c>
      <c r="F427" s="6">
        <v>755</v>
      </c>
      <c r="G427" s="6">
        <v>475952</v>
      </c>
      <c r="H427" s="6">
        <v>353448195</v>
      </c>
      <c r="I427" s="6">
        <v>0</v>
      </c>
      <c r="J427" s="6">
        <v>353448195</v>
      </c>
      <c r="K427" s="7">
        <v>0.47827999999999998</v>
      </c>
      <c r="L427" s="6">
        <f t="shared" si="6"/>
        <v>742.61311014556088</v>
      </c>
    </row>
    <row r="428" spans="1:12" x14ac:dyDescent="0.25">
      <c r="A428" s="2" t="s">
        <v>37</v>
      </c>
      <c r="B428" s="2" t="s">
        <v>38</v>
      </c>
      <c r="C428" s="2" t="s">
        <v>355</v>
      </c>
      <c r="D428" s="3">
        <v>327102</v>
      </c>
      <c r="E428" s="3">
        <v>1541</v>
      </c>
      <c r="F428" s="3">
        <v>216</v>
      </c>
      <c r="G428" s="3">
        <v>328859</v>
      </c>
      <c r="H428" s="3">
        <v>373155063</v>
      </c>
      <c r="I428" s="3">
        <v>0</v>
      </c>
      <c r="J428" s="3">
        <v>373155063</v>
      </c>
      <c r="K428" s="4">
        <v>0.48089999999999999</v>
      </c>
      <c r="L428" s="3">
        <f t="shared" si="6"/>
        <v>1134.69621631155</v>
      </c>
    </row>
    <row r="429" spans="1:12" x14ac:dyDescent="0.25">
      <c r="A429" s="5" t="s">
        <v>37</v>
      </c>
      <c r="B429" s="5" t="s">
        <v>38</v>
      </c>
      <c r="C429" s="5" t="s">
        <v>20</v>
      </c>
      <c r="D429" s="6">
        <v>318038</v>
      </c>
      <c r="E429" s="6">
        <v>1556</v>
      </c>
      <c r="F429" s="6">
        <v>232</v>
      </c>
      <c r="G429" s="6">
        <v>319826</v>
      </c>
      <c r="H429" s="6">
        <v>389237948</v>
      </c>
      <c r="I429" s="6">
        <v>0</v>
      </c>
      <c r="J429" s="6">
        <v>389237948</v>
      </c>
      <c r="K429" s="7">
        <v>0.50163000000000002</v>
      </c>
      <c r="L429" s="6">
        <f t="shared" si="6"/>
        <v>1217.0303477515899</v>
      </c>
    </row>
    <row r="430" spans="1:12" x14ac:dyDescent="0.25">
      <c r="A430" s="2" t="s">
        <v>82</v>
      </c>
      <c r="B430" s="2" t="s">
        <v>83</v>
      </c>
      <c r="C430" s="2" t="s">
        <v>258</v>
      </c>
      <c r="D430" s="3">
        <v>5197</v>
      </c>
      <c r="E430" s="3">
        <v>38</v>
      </c>
      <c r="F430" s="3">
        <v>122</v>
      </c>
      <c r="G430" s="3">
        <v>5357</v>
      </c>
      <c r="H430" s="3">
        <v>402731780</v>
      </c>
      <c r="I430" s="3">
        <v>0</v>
      </c>
      <c r="J430" s="3">
        <v>402731780</v>
      </c>
      <c r="K430" s="4">
        <v>0.64822929000000007</v>
      </c>
      <c r="L430" s="3">
        <f t="shared" si="6"/>
        <v>75178.603696098566</v>
      </c>
    </row>
    <row r="431" spans="1:12" x14ac:dyDescent="0.25">
      <c r="A431" s="5" t="s">
        <v>82</v>
      </c>
      <c r="B431" s="5" t="s">
        <v>83</v>
      </c>
      <c r="C431" s="5" t="s">
        <v>356</v>
      </c>
      <c r="D431" s="6">
        <v>26550</v>
      </c>
      <c r="E431" s="6">
        <v>108</v>
      </c>
      <c r="F431" s="6">
        <v>412</v>
      </c>
      <c r="G431" s="6">
        <v>27070</v>
      </c>
      <c r="H431" s="6">
        <v>423143092</v>
      </c>
      <c r="I431" s="6">
        <v>0</v>
      </c>
      <c r="J431" s="6">
        <v>423143092</v>
      </c>
      <c r="K431" s="7">
        <v>0.59482999999999997</v>
      </c>
      <c r="L431" s="6">
        <f t="shared" si="6"/>
        <v>15631.44041374215</v>
      </c>
    </row>
    <row r="432" spans="1:12" x14ac:dyDescent="0.25">
      <c r="A432" s="2" t="s">
        <v>82</v>
      </c>
      <c r="B432" s="2" t="s">
        <v>83</v>
      </c>
      <c r="C432" s="2" t="s">
        <v>356</v>
      </c>
      <c r="D432" s="3">
        <v>26550</v>
      </c>
      <c r="E432" s="3">
        <v>108</v>
      </c>
      <c r="F432" s="3">
        <v>412</v>
      </c>
      <c r="G432" s="3">
        <v>27070</v>
      </c>
      <c r="H432" s="3">
        <v>368864634</v>
      </c>
      <c r="I432" s="3">
        <v>0</v>
      </c>
      <c r="J432" s="3">
        <v>368864634</v>
      </c>
      <c r="K432" s="4">
        <v>0.51849999999999996</v>
      </c>
      <c r="L432" s="3">
        <f t="shared" si="6"/>
        <v>13626.32560029553</v>
      </c>
    </row>
    <row r="433" spans="1:12" x14ac:dyDescent="0.25">
      <c r="A433" s="5" t="s">
        <v>82</v>
      </c>
      <c r="B433" s="5" t="s">
        <v>83</v>
      </c>
      <c r="C433" s="5" t="s">
        <v>260</v>
      </c>
      <c r="D433" s="6">
        <v>67332</v>
      </c>
      <c r="E433" s="6">
        <v>594</v>
      </c>
      <c r="F433" s="6">
        <v>827</v>
      </c>
      <c r="G433" s="6">
        <v>68753</v>
      </c>
      <c r="H433" s="6">
        <v>348234011</v>
      </c>
      <c r="I433" s="6">
        <v>0</v>
      </c>
      <c r="J433" s="6">
        <v>348234011</v>
      </c>
      <c r="K433" s="7">
        <v>0.48922591999999998</v>
      </c>
      <c r="L433" s="6">
        <f t="shared" si="6"/>
        <v>5065.0009599581108</v>
      </c>
    </row>
    <row r="434" spans="1:12" x14ac:dyDescent="0.25">
      <c r="A434" s="2" t="s">
        <v>82</v>
      </c>
      <c r="B434" s="2" t="s">
        <v>83</v>
      </c>
      <c r="C434" s="2" t="s">
        <v>226</v>
      </c>
      <c r="D434" s="3">
        <v>68691</v>
      </c>
      <c r="E434" s="3">
        <v>0</v>
      </c>
      <c r="F434" s="3">
        <v>1558</v>
      </c>
      <c r="G434" s="3">
        <v>70249</v>
      </c>
      <c r="H434" s="3">
        <v>316724584</v>
      </c>
      <c r="I434" s="3">
        <v>0</v>
      </c>
      <c r="J434" s="3">
        <v>316724584</v>
      </c>
      <c r="K434" s="4">
        <v>0.45811161</v>
      </c>
      <c r="L434" s="3">
        <f t="shared" si="6"/>
        <v>4508.5991829065179</v>
      </c>
    </row>
    <row r="435" spans="1:12" x14ac:dyDescent="0.25">
      <c r="A435" s="5" t="s">
        <v>82</v>
      </c>
      <c r="B435" s="5" t="s">
        <v>83</v>
      </c>
      <c r="C435" s="5" t="s">
        <v>357</v>
      </c>
      <c r="D435" s="6">
        <v>121341</v>
      </c>
      <c r="E435" s="6">
        <v>974</v>
      </c>
      <c r="F435" s="6">
        <v>1275</v>
      </c>
      <c r="G435" s="6">
        <v>123590</v>
      </c>
      <c r="H435" s="6">
        <v>331799687</v>
      </c>
      <c r="I435" s="6">
        <v>0</v>
      </c>
      <c r="J435" s="6">
        <v>331799687</v>
      </c>
      <c r="K435" s="7">
        <v>0.35600999999999999</v>
      </c>
      <c r="L435" s="6">
        <f t="shared" si="6"/>
        <v>2684.6806942309249</v>
      </c>
    </row>
    <row r="436" spans="1:12" x14ac:dyDescent="0.25">
      <c r="A436" s="2" t="s">
        <v>82</v>
      </c>
      <c r="B436" s="2" t="s">
        <v>83</v>
      </c>
      <c r="C436" s="2" t="s">
        <v>358</v>
      </c>
      <c r="D436" s="3">
        <v>73342</v>
      </c>
      <c r="E436" s="3">
        <v>1005</v>
      </c>
      <c r="F436" s="3">
        <v>1076</v>
      </c>
      <c r="G436" s="3">
        <v>75423</v>
      </c>
      <c r="H436" s="3">
        <v>237618211</v>
      </c>
      <c r="I436" s="3">
        <v>0</v>
      </c>
      <c r="J436" s="3">
        <v>237618211</v>
      </c>
      <c r="K436" s="4">
        <v>0.27696999999999999</v>
      </c>
      <c r="L436" s="3">
        <f t="shared" si="6"/>
        <v>3150.4741391883113</v>
      </c>
    </row>
    <row r="437" spans="1:12" x14ac:dyDescent="0.25">
      <c r="A437" s="5" t="s">
        <v>82</v>
      </c>
      <c r="B437" s="5" t="s">
        <v>83</v>
      </c>
      <c r="C437" s="5" t="s">
        <v>245</v>
      </c>
      <c r="D437" s="6">
        <v>101273</v>
      </c>
      <c r="E437" s="6">
        <v>2257</v>
      </c>
      <c r="F437" s="6">
        <v>638</v>
      </c>
      <c r="G437" s="6">
        <v>104168</v>
      </c>
      <c r="H437" s="6">
        <v>761175338</v>
      </c>
      <c r="I437" s="6">
        <v>0</v>
      </c>
      <c r="J437" s="6">
        <v>761175338</v>
      </c>
      <c r="K437" s="7">
        <v>0.54295000000000004</v>
      </c>
      <c r="L437" s="6">
        <f t="shared" si="6"/>
        <v>7307.1897127716766</v>
      </c>
    </row>
    <row r="438" spans="1:12" x14ac:dyDescent="0.25">
      <c r="A438" s="2" t="s">
        <v>82</v>
      </c>
      <c r="B438" s="2" t="s">
        <v>83</v>
      </c>
      <c r="C438" s="2" t="s">
        <v>48</v>
      </c>
      <c r="D438" s="3">
        <v>101273</v>
      </c>
      <c r="E438" s="3">
        <v>2257</v>
      </c>
      <c r="F438" s="3">
        <v>638</v>
      </c>
      <c r="G438" s="3">
        <v>104168</v>
      </c>
      <c r="H438" s="3">
        <v>735470942</v>
      </c>
      <c r="I438" s="3">
        <v>0</v>
      </c>
      <c r="J438" s="3">
        <v>735470942</v>
      </c>
      <c r="K438" s="4">
        <v>0.53278000000000003</v>
      </c>
      <c r="L438" s="3">
        <f t="shared" si="6"/>
        <v>7060.4306696874282</v>
      </c>
    </row>
    <row r="439" spans="1:12" x14ac:dyDescent="0.25">
      <c r="A439" s="5" t="s">
        <v>146</v>
      </c>
      <c r="B439" s="5" t="s">
        <v>147</v>
      </c>
      <c r="C439" s="5" t="s">
        <v>258</v>
      </c>
      <c r="D439" s="6">
        <v>1777</v>
      </c>
      <c r="E439" s="6">
        <v>970</v>
      </c>
      <c r="F439" s="6">
        <v>0</v>
      </c>
      <c r="G439" s="6">
        <v>2747</v>
      </c>
      <c r="H439" s="6">
        <v>270279854</v>
      </c>
      <c r="I439" s="6">
        <v>0</v>
      </c>
      <c r="J439" s="6">
        <v>270279854</v>
      </c>
      <c r="K439" s="7">
        <v>0.44979999999999998</v>
      </c>
      <c r="L439" s="6">
        <f t="shared" si="6"/>
        <v>98390.918820531486</v>
      </c>
    </row>
    <row r="440" spans="1:12" x14ac:dyDescent="0.25">
      <c r="A440" s="2" t="s">
        <v>146</v>
      </c>
      <c r="B440" s="2" t="s">
        <v>147</v>
      </c>
      <c r="C440" s="2" t="s">
        <v>187</v>
      </c>
      <c r="D440" s="3">
        <v>10672</v>
      </c>
      <c r="E440" s="3">
        <v>1230</v>
      </c>
      <c r="F440" s="3">
        <v>0</v>
      </c>
      <c r="G440" s="3">
        <v>11902</v>
      </c>
      <c r="H440" s="3">
        <v>276848567</v>
      </c>
      <c r="I440" s="3">
        <v>0</v>
      </c>
      <c r="J440" s="3">
        <v>276848567</v>
      </c>
      <c r="K440" s="4">
        <v>0.46079999999999999</v>
      </c>
      <c r="L440" s="3">
        <f t="shared" si="6"/>
        <v>23260.676104856328</v>
      </c>
    </row>
    <row r="441" spans="1:12" x14ac:dyDescent="0.25">
      <c r="A441" s="5" t="s">
        <v>146</v>
      </c>
      <c r="B441" s="5" t="s">
        <v>147</v>
      </c>
      <c r="C441" s="5" t="s">
        <v>187</v>
      </c>
      <c r="D441" s="6">
        <v>10672</v>
      </c>
      <c r="E441" s="6">
        <v>1230</v>
      </c>
      <c r="F441" s="6">
        <v>0</v>
      </c>
      <c r="G441" s="6">
        <v>11902</v>
      </c>
      <c r="H441" s="6">
        <v>245888754</v>
      </c>
      <c r="I441" s="6">
        <v>0</v>
      </c>
      <c r="J441" s="6">
        <v>245888754</v>
      </c>
      <c r="K441" s="7">
        <v>0.40920000000000001</v>
      </c>
      <c r="L441" s="6">
        <f t="shared" si="6"/>
        <v>20659.448328012099</v>
      </c>
    </row>
    <row r="442" spans="1:12" x14ac:dyDescent="0.25">
      <c r="A442" s="2" t="s">
        <v>146</v>
      </c>
      <c r="B442" s="2" t="s">
        <v>147</v>
      </c>
      <c r="C442" s="2" t="s">
        <v>226</v>
      </c>
      <c r="D442" s="3">
        <v>38417</v>
      </c>
      <c r="E442" s="3">
        <v>1381</v>
      </c>
      <c r="F442" s="3">
        <v>0</v>
      </c>
      <c r="G442" s="3">
        <v>39798</v>
      </c>
      <c r="H442" s="3">
        <v>268145328</v>
      </c>
      <c r="I442" s="3">
        <v>0</v>
      </c>
      <c r="J442" s="3">
        <v>268145328</v>
      </c>
      <c r="K442" s="4">
        <v>0.44629999999999997</v>
      </c>
      <c r="L442" s="3">
        <f t="shared" si="6"/>
        <v>6737.6583747927034</v>
      </c>
    </row>
    <row r="443" spans="1:12" x14ac:dyDescent="0.25">
      <c r="A443" s="5" t="s">
        <v>146</v>
      </c>
      <c r="B443" s="5" t="s">
        <v>147</v>
      </c>
      <c r="C443" s="5" t="s">
        <v>226</v>
      </c>
      <c r="D443" s="6">
        <v>38417</v>
      </c>
      <c r="E443" s="6">
        <v>1381</v>
      </c>
      <c r="F443" s="6">
        <v>0</v>
      </c>
      <c r="G443" s="6">
        <v>39798</v>
      </c>
      <c r="H443" s="6">
        <v>266933994</v>
      </c>
      <c r="I443" s="6">
        <v>0</v>
      </c>
      <c r="J443" s="6">
        <v>266933994</v>
      </c>
      <c r="K443" s="7">
        <v>0.44419999999999998</v>
      </c>
      <c r="L443" s="6">
        <f t="shared" si="6"/>
        <v>6707.2213176541536</v>
      </c>
    </row>
    <row r="444" spans="1:12" x14ac:dyDescent="0.25">
      <c r="A444" s="2" t="s">
        <v>146</v>
      </c>
      <c r="B444" s="2" t="s">
        <v>147</v>
      </c>
      <c r="C444" s="2" t="s">
        <v>213</v>
      </c>
      <c r="D444" s="3">
        <v>27670</v>
      </c>
      <c r="E444" s="3">
        <v>1076</v>
      </c>
      <c r="F444" s="3">
        <v>0</v>
      </c>
      <c r="G444" s="3">
        <v>28746</v>
      </c>
      <c r="H444" s="3">
        <v>318010631</v>
      </c>
      <c r="I444" s="3">
        <v>0</v>
      </c>
      <c r="J444" s="3">
        <v>318010631</v>
      </c>
      <c r="K444" s="4">
        <v>0.52934999999999999</v>
      </c>
      <c r="L444" s="3">
        <f t="shared" si="6"/>
        <v>11062.778508314201</v>
      </c>
    </row>
    <row r="445" spans="1:12" x14ac:dyDescent="0.25">
      <c r="A445" s="5" t="s">
        <v>146</v>
      </c>
      <c r="B445" s="5" t="s">
        <v>147</v>
      </c>
      <c r="C445" s="5" t="s">
        <v>359</v>
      </c>
      <c r="D445" s="6">
        <v>39842</v>
      </c>
      <c r="E445" s="6">
        <v>318</v>
      </c>
      <c r="F445" s="6">
        <v>639</v>
      </c>
      <c r="G445" s="6">
        <v>40799</v>
      </c>
      <c r="H445" s="6">
        <v>313832763</v>
      </c>
      <c r="I445" s="6">
        <v>0</v>
      </c>
      <c r="J445" s="6">
        <v>313832763</v>
      </c>
      <c r="K445" s="7">
        <v>0.61155999999999999</v>
      </c>
      <c r="L445" s="6">
        <f t="shared" si="6"/>
        <v>7692.1680188239907</v>
      </c>
    </row>
    <row r="446" spans="1:12" x14ac:dyDescent="0.25">
      <c r="A446" s="2" t="s">
        <v>146</v>
      </c>
      <c r="B446" s="2" t="s">
        <v>147</v>
      </c>
      <c r="C446" s="2" t="s">
        <v>148</v>
      </c>
      <c r="D446" s="3">
        <v>25446</v>
      </c>
      <c r="E446" s="3">
        <v>135</v>
      </c>
      <c r="F446" s="3">
        <v>1132</v>
      </c>
      <c r="G446" s="3">
        <v>26713</v>
      </c>
      <c r="H446" s="3">
        <v>322143505</v>
      </c>
      <c r="I446" s="3">
        <v>0</v>
      </c>
      <c r="J446" s="3">
        <v>322143505</v>
      </c>
      <c r="K446" s="4">
        <v>0.62775999999999998</v>
      </c>
      <c r="L446" s="3">
        <f t="shared" si="6"/>
        <v>12059.428181035451</v>
      </c>
    </row>
    <row r="447" spans="1:12" x14ac:dyDescent="0.25">
      <c r="A447" s="5" t="s">
        <v>146</v>
      </c>
      <c r="B447" s="5" t="s">
        <v>147</v>
      </c>
      <c r="C447" s="5" t="s">
        <v>148</v>
      </c>
      <c r="D447" s="6">
        <v>25446</v>
      </c>
      <c r="E447" s="6">
        <v>135</v>
      </c>
      <c r="F447" s="6">
        <v>1132</v>
      </c>
      <c r="G447" s="6">
        <v>26713</v>
      </c>
      <c r="H447" s="6">
        <v>322143505</v>
      </c>
      <c r="I447" s="6">
        <v>0</v>
      </c>
      <c r="J447" s="6">
        <v>322143505</v>
      </c>
      <c r="K447" s="7">
        <v>0.62775999999999998</v>
      </c>
      <c r="L447" s="6">
        <f t="shared" si="6"/>
        <v>12059.428181035451</v>
      </c>
    </row>
    <row r="448" spans="1:12" x14ac:dyDescent="0.25">
      <c r="A448" s="2" t="s">
        <v>121</v>
      </c>
      <c r="B448" s="2" t="s">
        <v>122</v>
      </c>
      <c r="C448" s="2" t="s">
        <v>360</v>
      </c>
      <c r="D448" s="3">
        <v>11665</v>
      </c>
      <c r="E448" s="3">
        <v>470</v>
      </c>
      <c r="F448" s="3">
        <v>649</v>
      </c>
      <c r="G448" s="3">
        <v>12784</v>
      </c>
      <c r="H448" s="3">
        <v>175199731</v>
      </c>
      <c r="I448" s="3">
        <v>0</v>
      </c>
      <c r="J448" s="3">
        <v>175199731</v>
      </c>
      <c r="K448" s="4">
        <v>0.40411923</v>
      </c>
      <c r="L448" s="3">
        <f t="shared" si="6"/>
        <v>13704.609746558197</v>
      </c>
    </row>
    <row r="449" spans="1:12" x14ac:dyDescent="0.25">
      <c r="A449" s="5" t="s">
        <v>121</v>
      </c>
      <c r="B449" s="5" t="s">
        <v>122</v>
      </c>
      <c r="C449" s="5" t="s">
        <v>361</v>
      </c>
      <c r="D449" s="6">
        <v>15185</v>
      </c>
      <c r="E449" s="6">
        <v>69</v>
      </c>
      <c r="F449" s="6">
        <v>311</v>
      </c>
      <c r="G449" s="6">
        <v>15565</v>
      </c>
      <c r="H449" s="6">
        <v>0</v>
      </c>
      <c r="I449" s="6">
        <v>0</v>
      </c>
      <c r="J449" s="6">
        <v>0</v>
      </c>
      <c r="K449" s="7">
        <v>0</v>
      </c>
      <c r="L449" s="6">
        <f t="shared" si="6"/>
        <v>0</v>
      </c>
    </row>
    <row r="450" spans="1:12" x14ac:dyDescent="0.25">
      <c r="A450" s="2" t="s">
        <v>121</v>
      </c>
      <c r="B450" s="2" t="s">
        <v>362</v>
      </c>
      <c r="C450" s="2" t="s">
        <v>265</v>
      </c>
      <c r="D450" s="3">
        <v>42309</v>
      </c>
      <c r="E450" s="3">
        <v>304</v>
      </c>
      <c r="F450" s="3">
        <v>1337</v>
      </c>
      <c r="G450" s="3">
        <v>43950</v>
      </c>
      <c r="H450" s="3">
        <v>717966639</v>
      </c>
      <c r="I450" s="3">
        <v>0</v>
      </c>
      <c r="J450" s="3">
        <v>717966639</v>
      </c>
      <c r="K450" s="4">
        <v>0.57373408999999997</v>
      </c>
      <c r="L450" s="3">
        <f t="shared" ref="L450:L513" si="7">IFERROR(J450/G450,"")</f>
        <v>16335.98723549488</v>
      </c>
    </row>
    <row r="451" spans="1:12" x14ac:dyDescent="0.25">
      <c r="A451" s="5" t="s">
        <v>121</v>
      </c>
      <c r="B451" s="5" t="s">
        <v>122</v>
      </c>
      <c r="C451" s="5" t="s">
        <v>363</v>
      </c>
      <c r="D451" s="6">
        <v>0</v>
      </c>
      <c r="E451" s="6">
        <v>1</v>
      </c>
      <c r="F451" s="6">
        <v>0</v>
      </c>
      <c r="G451" s="6">
        <v>1</v>
      </c>
      <c r="H451" s="6">
        <v>0</v>
      </c>
      <c r="I451" s="6">
        <v>0</v>
      </c>
      <c r="J451" s="6">
        <v>0</v>
      </c>
      <c r="K451" s="7">
        <v>0</v>
      </c>
      <c r="L451" s="6">
        <f t="shared" si="7"/>
        <v>0</v>
      </c>
    </row>
    <row r="452" spans="1:12" x14ac:dyDescent="0.25">
      <c r="A452" s="2" t="s">
        <v>121</v>
      </c>
      <c r="B452" s="2" t="s">
        <v>362</v>
      </c>
      <c r="C452" s="2" t="s">
        <v>364</v>
      </c>
      <c r="D452" s="3">
        <v>43620</v>
      </c>
      <c r="E452" s="3">
        <v>318</v>
      </c>
      <c r="F452" s="3">
        <v>1468</v>
      </c>
      <c r="G452" s="3">
        <v>45406</v>
      </c>
      <c r="H452" s="3">
        <v>842192420</v>
      </c>
      <c r="I452" s="3">
        <v>0</v>
      </c>
      <c r="J452" s="3">
        <v>842192420</v>
      </c>
      <c r="K452" s="4">
        <v>0.61177000000000004</v>
      </c>
      <c r="L452" s="3">
        <f t="shared" si="7"/>
        <v>18548.042549442805</v>
      </c>
    </row>
    <row r="453" spans="1:12" x14ac:dyDescent="0.25">
      <c r="A453" s="5" t="s">
        <v>121</v>
      </c>
      <c r="B453" s="5" t="s">
        <v>122</v>
      </c>
      <c r="C453" s="5" t="s">
        <v>363</v>
      </c>
      <c r="D453" s="6">
        <v>0</v>
      </c>
      <c r="E453" s="6">
        <v>1</v>
      </c>
      <c r="F453" s="6">
        <v>0</v>
      </c>
      <c r="G453" s="6">
        <v>1</v>
      </c>
      <c r="H453" s="6">
        <v>0</v>
      </c>
      <c r="I453" s="6">
        <v>0</v>
      </c>
      <c r="J453" s="6">
        <v>0</v>
      </c>
      <c r="K453" s="7">
        <v>0</v>
      </c>
      <c r="L453" s="6">
        <f t="shared" si="7"/>
        <v>0</v>
      </c>
    </row>
    <row r="454" spans="1:12" x14ac:dyDescent="0.25">
      <c r="A454" s="2" t="s">
        <v>121</v>
      </c>
      <c r="B454" s="2" t="s">
        <v>362</v>
      </c>
      <c r="C454" s="2" t="s">
        <v>365</v>
      </c>
      <c r="D454" s="3">
        <v>68281</v>
      </c>
      <c r="E454" s="3">
        <v>418</v>
      </c>
      <c r="F454" s="3">
        <v>1664</v>
      </c>
      <c r="G454" s="3">
        <v>70363</v>
      </c>
      <c r="H454" s="3">
        <v>835961011</v>
      </c>
      <c r="I454" s="3">
        <v>0</v>
      </c>
      <c r="J454" s="3">
        <v>835961011</v>
      </c>
      <c r="K454" s="4">
        <v>0.60534999999999994</v>
      </c>
      <c r="L454" s="3">
        <f t="shared" si="7"/>
        <v>11880.690291772664</v>
      </c>
    </row>
    <row r="455" spans="1:12" x14ac:dyDescent="0.25">
      <c r="A455" s="5" t="s">
        <v>121</v>
      </c>
      <c r="B455" s="5" t="s">
        <v>122</v>
      </c>
      <c r="C455" s="5" t="s">
        <v>363</v>
      </c>
      <c r="D455" s="6">
        <v>0</v>
      </c>
      <c r="E455" s="6">
        <v>1</v>
      </c>
      <c r="F455" s="6">
        <v>0</v>
      </c>
      <c r="G455" s="6">
        <v>1</v>
      </c>
      <c r="H455" s="6">
        <v>0</v>
      </c>
      <c r="I455" s="6">
        <v>0</v>
      </c>
      <c r="J455" s="6">
        <v>0</v>
      </c>
      <c r="K455" s="7">
        <v>0</v>
      </c>
      <c r="L455" s="6">
        <f t="shared" si="7"/>
        <v>0</v>
      </c>
    </row>
    <row r="456" spans="1:12" x14ac:dyDescent="0.25">
      <c r="A456" s="2" t="s">
        <v>121</v>
      </c>
      <c r="B456" s="2" t="s">
        <v>362</v>
      </c>
      <c r="C456" s="2" t="s">
        <v>365</v>
      </c>
      <c r="D456" s="3">
        <v>68281</v>
      </c>
      <c r="E456" s="3">
        <v>418</v>
      </c>
      <c r="F456" s="3">
        <v>1664</v>
      </c>
      <c r="G456" s="3">
        <v>70363</v>
      </c>
      <c r="H456" s="3">
        <v>838904847</v>
      </c>
      <c r="I456" s="3">
        <v>0</v>
      </c>
      <c r="J456" s="3">
        <v>838904847</v>
      </c>
      <c r="K456" s="4">
        <v>0.60651648999999996</v>
      </c>
      <c r="L456" s="3">
        <f t="shared" si="7"/>
        <v>11922.52813268337</v>
      </c>
    </row>
    <row r="457" spans="1:12" x14ac:dyDescent="0.25">
      <c r="A457" s="5" t="s">
        <v>121</v>
      </c>
      <c r="B457" s="5" t="s">
        <v>122</v>
      </c>
      <c r="C457" s="5" t="s">
        <v>182</v>
      </c>
      <c r="D457" s="6">
        <v>0</v>
      </c>
      <c r="E457" s="6">
        <v>1</v>
      </c>
      <c r="F457" s="6">
        <v>0</v>
      </c>
      <c r="G457" s="6">
        <v>1</v>
      </c>
      <c r="H457" s="6">
        <v>0</v>
      </c>
      <c r="I457" s="6">
        <v>0</v>
      </c>
      <c r="J457" s="6">
        <v>0</v>
      </c>
      <c r="K457" s="7">
        <v>0</v>
      </c>
      <c r="L457" s="6">
        <f t="shared" si="7"/>
        <v>0</v>
      </c>
    </row>
    <row r="458" spans="1:12" x14ac:dyDescent="0.25">
      <c r="A458" s="2" t="s">
        <v>121</v>
      </c>
      <c r="B458" s="2" t="s">
        <v>362</v>
      </c>
      <c r="C458" s="2" t="s">
        <v>213</v>
      </c>
      <c r="D458" s="3">
        <v>53751</v>
      </c>
      <c r="E458" s="3">
        <v>1064</v>
      </c>
      <c r="F458" s="3">
        <v>247</v>
      </c>
      <c r="G458" s="3">
        <v>55062</v>
      </c>
      <c r="H458" s="3">
        <v>849346756</v>
      </c>
      <c r="I458" s="3">
        <v>0</v>
      </c>
      <c r="J458" s="3">
        <v>849346756</v>
      </c>
      <c r="K458" s="4">
        <v>0.61243000000000003</v>
      </c>
      <c r="L458" s="3">
        <f t="shared" si="7"/>
        <v>15425.279793687116</v>
      </c>
    </row>
    <row r="459" spans="1:12" x14ac:dyDescent="0.25">
      <c r="A459" s="5" t="s">
        <v>121</v>
      </c>
      <c r="B459" s="5" t="s">
        <v>122</v>
      </c>
      <c r="C459" s="5" t="s">
        <v>232</v>
      </c>
      <c r="D459" s="6">
        <v>0</v>
      </c>
      <c r="E459" s="6">
        <v>1</v>
      </c>
      <c r="F459" s="6">
        <v>0</v>
      </c>
      <c r="G459" s="6">
        <v>1</v>
      </c>
      <c r="H459" s="6">
        <v>0</v>
      </c>
      <c r="I459" s="6">
        <v>0</v>
      </c>
      <c r="J459" s="6">
        <v>0</v>
      </c>
      <c r="K459" s="7">
        <v>0</v>
      </c>
      <c r="L459" s="6">
        <f t="shared" si="7"/>
        <v>0</v>
      </c>
    </row>
    <row r="460" spans="1:12" x14ac:dyDescent="0.25">
      <c r="A460" s="2" t="s">
        <v>121</v>
      </c>
      <c r="B460" s="2" t="s">
        <v>362</v>
      </c>
      <c r="C460" s="2" t="s">
        <v>213</v>
      </c>
      <c r="D460" s="3">
        <v>53751</v>
      </c>
      <c r="E460" s="3">
        <v>1064</v>
      </c>
      <c r="F460" s="3">
        <v>247</v>
      </c>
      <c r="G460" s="3">
        <v>55062</v>
      </c>
      <c r="H460" s="3">
        <v>842398224</v>
      </c>
      <c r="I460" s="3">
        <v>0</v>
      </c>
      <c r="J460" s="3">
        <v>842398224</v>
      </c>
      <c r="K460" s="4">
        <v>0.60577000000000003</v>
      </c>
      <c r="L460" s="3">
        <f t="shared" si="7"/>
        <v>15299.085104064508</v>
      </c>
    </row>
    <row r="461" spans="1:12" x14ac:dyDescent="0.25">
      <c r="A461" s="5" t="s">
        <v>121</v>
      </c>
      <c r="B461" s="5" t="s">
        <v>362</v>
      </c>
      <c r="C461" s="5" t="s">
        <v>195</v>
      </c>
      <c r="D461" s="6">
        <v>0</v>
      </c>
      <c r="E461" s="6">
        <v>1</v>
      </c>
      <c r="F461" s="6">
        <v>0</v>
      </c>
      <c r="G461" s="6">
        <v>1</v>
      </c>
      <c r="H461" s="6">
        <v>0</v>
      </c>
      <c r="I461" s="6">
        <v>0</v>
      </c>
      <c r="J461" s="6">
        <v>0</v>
      </c>
      <c r="K461" s="7">
        <v>0</v>
      </c>
      <c r="L461" s="6">
        <f t="shared" si="7"/>
        <v>0</v>
      </c>
    </row>
    <row r="462" spans="1:12" x14ac:dyDescent="0.25">
      <c r="A462" s="2" t="s">
        <v>121</v>
      </c>
      <c r="B462" s="2" t="s">
        <v>122</v>
      </c>
      <c r="C462" s="2" t="s">
        <v>14</v>
      </c>
      <c r="D462" s="3">
        <v>46701</v>
      </c>
      <c r="E462" s="3">
        <v>1064</v>
      </c>
      <c r="F462" s="3">
        <v>247</v>
      </c>
      <c r="G462" s="3">
        <v>48012</v>
      </c>
      <c r="H462" s="3">
        <v>839880995</v>
      </c>
      <c r="I462" s="3">
        <v>0</v>
      </c>
      <c r="J462" s="3">
        <v>839880995</v>
      </c>
      <c r="K462" s="4">
        <v>0.61236999999999997</v>
      </c>
      <c r="L462" s="3">
        <f t="shared" si="7"/>
        <v>17493.14744230609</v>
      </c>
    </row>
    <row r="463" spans="1:12" x14ac:dyDescent="0.25">
      <c r="A463" s="5" t="s">
        <v>121</v>
      </c>
      <c r="B463" s="5" t="s">
        <v>122</v>
      </c>
      <c r="C463" s="5" t="s">
        <v>14</v>
      </c>
      <c r="D463" s="6">
        <v>46701</v>
      </c>
      <c r="E463" s="6">
        <v>1064</v>
      </c>
      <c r="F463" s="6">
        <v>247</v>
      </c>
      <c r="G463" s="6">
        <v>48012</v>
      </c>
      <c r="H463" s="6">
        <v>727229572</v>
      </c>
      <c r="I463" s="6">
        <v>0</v>
      </c>
      <c r="J463" s="6">
        <v>727229572</v>
      </c>
      <c r="K463" s="7">
        <v>0.52905999999999997</v>
      </c>
      <c r="L463" s="6">
        <f t="shared" si="7"/>
        <v>15146.829375989337</v>
      </c>
    </row>
    <row r="464" spans="1:12" x14ac:dyDescent="0.25">
      <c r="A464" s="2" t="s">
        <v>161</v>
      </c>
      <c r="B464" s="2" t="s">
        <v>366</v>
      </c>
      <c r="C464" s="2" t="s">
        <v>367</v>
      </c>
      <c r="D464" s="3">
        <v>0</v>
      </c>
      <c r="E464" s="3">
        <v>1</v>
      </c>
      <c r="F464" s="3">
        <v>0</v>
      </c>
      <c r="G464" s="3">
        <v>1</v>
      </c>
      <c r="H464" s="3">
        <v>1000000</v>
      </c>
      <c r="I464" s="3">
        <v>0</v>
      </c>
      <c r="J464" s="3">
        <v>1000000</v>
      </c>
      <c r="K464" s="4">
        <v>1</v>
      </c>
      <c r="L464" s="3">
        <f t="shared" si="7"/>
        <v>1000000</v>
      </c>
    </row>
    <row r="465" spans="1:12" x14ac:dyDescent="0.25">
      <c r="A465" s="5" t="s">
        <v>161</v>
      </c>
      <c r="B465" s="5" t="s">
        <v>162</v>
      </c>
      <c r="C465" s="5" t="s">
        <v>368</v>
      </c>
      <c r="D465" s="6">
        <v>0</v>
      </c>
      <c r="E465" s="6">
        <v>1</v>
      </c>
      <c r="F465" s="6">
        <v>0</v>
      </c>
      <c r="G465" s="6">
        <v>1</v>
      </c>
      <c r="H465" s="6">
        <v>0</v>
      </c>
      <c r="I465" s="6">
        <v>0</v>
      </c>
      <c r="J465" s="6">
        <v>0</v>
      </c>
      <c r="K465" s="7">
        <v>0</v>
      </c>
      <c r="L465" s="6">
        <f t="shared" si="7"/>
        <v>0</v>
      </c>
    </row>
    <row r="466" spans="1:12" x14ac:dyDescent="0.25">
      <c r="A466" s="2" t="s">
        <v>161</v>
      </c>
      <c r="B466" s="2" t="s">
        <v>369</v>
      </c>
      <c r="C466" s="2" t="s">
        <v>233</v>
      </c>
      <c r="D466" s="3">
        <v>874601</v>
      </c>
      <c r="E466" s="3">
        <v>211980</v>
      </c>
      <c r="F466" s="3">
        <v>693</v>
      </c>
      <c r="G466" s="3">
        <v>1087274</v>
      </c>
      <c r="H466" s="3">
        <v>519748557</v>
      </c>
      <c r="I466" s="3">
        <v>155915264</v>
      </c>
      <c r="J466" s="3">
        <v>675663821</v>
      </c>
      <c r="K466" s="4">
        <v>0.8182299999999999</v>
      </c>
      <c r="L466" s="3">
        <f t="shared" si="7"/>
        <v>621.42920827684645</v>
      </c>
    </row>
    <row r="467" spans="1:12" x14ac:dyDescent="0.25">
      <c r="A467" s="5" t="s">
        <v>161</v>
      </c>
      <c r="B467" s="5" t="s">
        <v>366</v>
      </c>
      <c r="C467" s="5" t="s">
        <v>367</v>
      </c>
      <c r="D467" s="6">
        <v>0</v>
      </c>
      <c r="E467" s="6">
        <v>1</v>
      </c>
      <c r="F467" s="6">
        <v>0</v>
      </c>
      <c r="G467" s="6">
        <v>1</v>
      </c>
      <c r="H467" s="6">
        <v>1000000</v>
      </c>
      <c r="I467" s="6">
        <v>0</v>
      </c>
      <c r="J467" s="6">
        <v>1000000</v>
      </c>
      <c r="K467" s="7">
        <v>1</v>
      </c>
      <c r="L467" s="6">
        <f t="shared" si="7"/>
        <v>1000000</v>
      </c>
    </row>
    <row r="468" spans="1:12" x14ac:dyDescent="0.25">
      <c r="A468" s="2" t="s">
        <v>161</v>
      </c>
      <c r="B468" s="2" t="s">
        <v>162</v>
      </c>
      <c r="C468" s="2" t="s">
        <v>370</v>
      </c>
      <c r="D468" s="3">
        <v>0</v>
      </c>
      <c r="E468" s="3">
        <v>1</v>
      </c>
      <c r="F468" s="3">
        <v>0</v>
      </c>
      <c r="G468" s="3">
        <v>1</v>
      </c>
      <c r="H468" s="3">
        <v>0</v>
      </c>
      <c r="I468" s="3">
        <v>0</v>
      </c>
      <c r="J468" s="3">
        <v>0</v>
      </c>
      <c r="K468" s="4">
        <v>0</v>
      </c>
      <c r="L468" s="3">
        <f t="shared" si="7"/>
        <v>0</v>
      </c>
    </row>
    <row r="469" spans="1:12" x14ac:dyDescent="0.25">
      <c r="A469" s="5" t="s">
        <v>161</v>
      </c>
      <c r="B469" s="5" t="s">
        <v>369</v>
      </c>
      <c r="C469" s="5" t="s">
        <v>371</v>
      </c>
      <c r="D469" s="6">
        <v>910851</v>
      </c>
      <c r="E469" s="6">
        <v>212429</v>
      </c>
      <c r="F469" s="6">
        <v>1151</v>
      </c>
      <c r="G469" s="6">
        <v>1124431</v>
      </c>
      <c r="H469" s="6">
        <v>5796444654</v>
      </c>
      <c r="I469" s="6">
        <v>155915481</v>
      </c>
      <c r="J469" s="6">
        <v>5952360135</v>
      </c>
      <c r="K469" s="7">
        <v>0.99968999999999997</v>
      </c>
      <c r="L469" s="6">
        <f t="shared" si="7"/>
        <v>5293.6642043842621</v>
      </c>
    </row>
    <row r="470" spans="1:12" x14ac:dyDescent="0.25">
      <c r="A470" s="2" t="s">
        <v>161</v>
      </c>
      <c r="B470" s="2" t="s">
        <v>366</v>
      </c>
      <c r="C470" s="2" t="s">
        <v>173</v>
      </c>
      <c r="D470" s="3">
        <v>0</v>
      </c>
      <c r="E470" s="3">
        <v>1</v>
      </c>
      <c r="F470" s="3">
        <v>0</v>
      </c>
      <c r="G470" s="3">
        <v>1</v>
      </c>
      <c r="H470" s="3">
        <v>1000000</v>
      </c>
      <c r="I470" s="3">
        <v>0</v>
      </c>
      <c r="J470" s="3">
        <v>1000000</v>
      </c>
      <c r="K470" s="4">
        <v>1</v>
      </c>
      <c r="L470" s="3">
        <f t="shared" si="7"/>
        <v>1000000</v>
      </c>
    </row>
    <row r="471" spans="1:12" x14ac:dyDescent="0.25">
      <c r="A471" s="5" t="s">
        <v>161</v>
      </c>
      <c r="B471" s="5" t="s">
        <v>162</v>
      </c>
      <c r="C471" s="5" t="s">
        <v>372</v>
      </c>
      <c r="D471" s="6">
        <v>0</v>
      </c>
      <c r="E471" s="6">
        <v>1</v>
      </c>
      <c r="F471" s="6">
        <v>0</v>
      </c>
      <c r="G471" s="6">
        <v>1</v>
      </c>
      <c r="H471" s="6">
        <v>0</v>
      </c>
      <c r="I471" s="6">
        <v>0</v>
      </c>
      <c r="J471" s="6">
        <v>0</v>
      </c>
      <c r="K471" s="7">
        <v>0</v>
      </c>
      <c r="L471" s="6">
        <f t="shared" si="7"/>
        <v>0</v>
      </c>
    </row>
    <row r="472" spans="1:12" x14ac:dyDescent="0.25">
      <c r="A472" s="2" t="s">
        <v>161</v>
      </c>
      <c r="B472" s="2" t="s">
        <v>369</v>
      </c>
      <c r="C472" s="2" t="s">
        <v>373</v>
      </c>
      <c r="D472" s="3">
        <v>1329833</v>
      </c>
      <c r="E472" s="3">
        <v>213258</v>
      </c>
      <c r="F472" s="3">
        <v>1313</v>
      </c>
      <c r="G472" s="3">
        <v>1544404</v>
      </c>
      <c r="H472" s="3">
        <v>5796444466</v>
      </c>
      <c r="I472" s="3">
        <v>155915479</v>
      </c>
      <c r="J472" s="3">
        <v>5952359945</v>
      </c>
      <c r="K472" s="4">
        <v>0.99968999999999997</v>
      </c>
      <c r="L472" s="3">
        <f t="shared" si="7"/>
        <v>3854.1469362938715</v>
      </c>
    </row>
    <row r="473" spans="1:12" x14ac:dyDescent="0.25">
      <c r="A473" s="5" t="s">
        <v>161</v>
      </c>
      <c r="B473" s="5" t="s">
        <v>366</v>
      </c>
      <c r="C473" s="5" t="s">
        <v>374</v>
      </c>
      <c r="D473" s="6">
        <v>2</v>
      </c>
      <c r="E473" s="6">
        <v>0</v>
      </c>
      <c r="F473" s="6">
        <v>0</v>
      </c>
      <c r="G473" s="6">
        <v>2</v>
      </c>
      <c r="H473" s="6">
        <v>1000000</v>
      </c>
      <c r="I473" s="6">
        <v>0</v>
      </c>
      <c r="J473" s="6">
        <v>1000000</v>
      </c>
      <c r="K473" s="7">
        <v>1</v>
      </c>
      <c r="L473" s="6">
        <f t="shared" si="7"/>
        <v>500000</v>
      </c>
    </row>
    <row r="474" spans="1:12" x14ac:dyDescent="0.25">
      <c r="A474" s="2" t="s">
        <v>161</v>
      </c>
      <c r="B474" s="2" t="s">
        <v>369</v>
      </c>
      <c r="C474" s="2" t="s">
        <v>375</v>
      </c>
      <c r="D474" s="3">
        <v>1027957</v>
      </c>
      <c r="E474" s="3">
        <v>150264</v>
      </c>
      <c r="F474" s="3">
        <v>1040</v>
      </c>
      <c r="G474" s="3">
        <v>1179261</v>
      </c>
      <c r="H474" s="3">
        <v>5799860643</v>
      </c>
      <c r="I474" s="3">
        <v>155901185</v>
      </c>
      <c r="J474" s="3">
        <v>5955761828</v>
      </c>
      <c r="K474" s="4">
        <v>0.90197000000000005</v>
      </c>
      <c r="L474" s="3">
        <f t="shared" si="7"/>
        <v>5050.4187181633242</v>
      </c>
    </row>
    <row r="475" spans="1:12" x14ac:dyDescent="0.25">
      <c r="A475" s="5" t="s">
        <v>161</v>
      </c>
      <c r="B475" s="5" t="s">
        <v>162</v>
      </c>
      <c r="C475" s="5" t="s">
        <v>292</v>
      </c>
      <c r="D475" s="6">
        <v>0</v>
      </c>
      <c r="E475" s="6">
        <v>1</v>
      </c>
      <c r="F475" s="6">
        <v>0</v>
      </c>
      <c r="G475" s="6">
        <v>1</v>
      </c>
      <c r="H475" s="6">
        <v>0</v>
      </c>
      <c r="I475" s="6">
        <v>0</v>
      </c>
      <c r="J475" s="6">
        <v>0</v>
      </c>
      <c r="K475" s="7">
        <v>0</v>
      </c>
      <c r="L475" s="6">
        <f t="shared" si="7"/>
        <v>0</v>
      </c>
    </row>
    <row r="476" spans="1:12" x14ac:dyDescent="0.25">
      <c r="A476" s="2" t="s">
        <v>161</v>
      </c>
      <c r="B476" s="2" t="s">
        <v>366</v>
      </c>
      <c r="C476" s="2" t="s">
        <v>376</v>
      </c>
      <c r="D476" s="3">
        <v>2</v>
      </c>
      <c r="E476" s="3">
        <v>0</v>
      </c>
      <c r="F476" s="3">
        <v>0</v>
      </c>
      <c r="G476" s="3">
        <v>2</v>
      </c>
      <c r="H476" s="3">
        <v>1000000</v>
      </c>
      <c r="I476" s="3">
        <v>0</v>
      </c>
      <c r="J476" s="3">
        <v>1000000</v>
      </c>
      <c r="K476" s="4">
        <v>1</v>
      </c>
      <c r="L476" s="3">
        <f t="shared" si="7"/>
        <v>500000</v>
      </c>
    </row>
    <row r="477" spans="1:12" x14ac:dyDescent="0.25">
      <c r="A477" s="5" t="s">
        <v>161</v>
      </c>
      <c r="B477" s="5" t="s">
        <v>162</v>
      </c>
      <c r="C477" s="5" t="s">
        <v>231</v>
      </c>
      <c r="D477" s="6">
        <v>0</v>
      </c>
      <c r="E477" s="6">
        <v>1</v>
      </c>
      <c r="F477" s="6">
        <v>0</v>
      </c>
      <c r="G477" s="6">
        <v>1</v>
      </c>
      <c r="H477" s="6">
        <v>0</v>
      </c>
      <c r="I477" s="6">
        <v>0</v>
      </c>
      <c r="J477" s="6">
        <v>0</v>
      </c>
      <c r="K477" s="7">
        <v>0</v>
      </c>
      <c r="L477" s="6">
        <f t="shared" si="7"/>
        <v>0</v>
      </c>
    </row>
    <row r="478" spans="1:12" x14ac:dyDescent="0.25">
      <c r="A478" s="2" t="s">
        <v>161</v>
      </c>
      <c r="B478" s="2" t="s">
        <v>369</v>
      </c>
      <c r="C478" s="2" t="s">
        <v>377</v>
      </c>
      <c r="D478" s="3">
        <v>1354834</v>
      </c>
      <c r="E478" s="3">
        <v>213002</v>
      </c>
      <c r="F478" s="3">
        <v>1001</v>
      </c>
      <c r="G478" s="3">
        <v>1568837</v>
      </c>
      <c r="H478" s="3">
        <v>579986047</v>
      </c>
      <c r="I478" s="3">
        <v>15589619</v>
      </c>
      <c r="J478" s="3">
        <v>595575666</v>
      </c>
      <c r="K478" s="4">
        <v>0.90197227000000002</v>
      </c>
      <c r="L478" s="3">
        <f t="shared" si="7"/>
        <v>379.62877341623124</v>
      </c>
    </row>
    <row r="479" spans="1:12" x14ac:dyDescent="0.25">
      <c r="A479" s="5" t="s">
        <v>161</v>
      </c>
      <c r="B479" s="5" t="s">
        <v>366</v>
      </c>
      <c r="C479" s="5" t="s">
        <v>376</v>
      </c>
      <c r="D479" s="6">
        <v>2</v>
      </c>
      <c r="E479" s="6">
        <v>0</v>
      </c>
      <c r="F479" s="6">
        <v>0</v>
      </c>
      <c r="G479" s="6">
        <v>2</v>
      </c>
      <c r="H479" s="6">
        <v>1000000</v>
      </c>
      <c r="I479" s="6">
        <v>0</v>
      </c>
      <c r="J479" s="6">
        <v>1000000</v>
      </c>
      <c r="K479" s="7">
        <v>1</v>
      </c>
      <c r="L479" s="6">
        <f t="shared" si="7"/>
        <v>500000</v>
      </c>
    </row>
    <row r="480" spans="1:12" x14ac:dyDescent="0.25">
      <c r="A480" s="2" t="s">
        <v>161</v>
      </c>
      <c r="B480" s="2" t="s">
        <v>162</v>
      </c>
      <c r="C480" s="2" t="s">
        <v>315</v>
      </c>
      <c r="D480" s="3">
        <v>0</v>
      </c>
      <c r="E480" s="3">
        <v>1</v>
      </c>
      <c r="F480" s="3">
        <v>0</v>
      </c>
      <c r="G480" s="3">
        <v>1</v>
      </c>
      <c r="H480" s="3">
        <v>0</v>
      </c>
      <c r="I480" s="3">
        <v>0</v>
      </c>
      <c r="J480" s="3">
        <v>0</v>
      </c>
      <c r="K480" s="4">
        <v>0</v>
      </c>
      <c r="L480" s="3">
        <f t="shared" si="7"/>
        <v>0</v>
      </c>
    </row>
    <row r="481" spans="1:12" x14ac:dyDescent="0.25">
      <c r="A481" s="5" t="s">
        <v>161</v>
      </c>
      <c r="B481" s="5" t="s">
        <v>369</v>
      </c>
      <c r="C481" s="5" t="s">
        <v>378</v>
      </c>
      <c r="D481" s="6">
        <v>468627</v>
      </c>
      <c r="E481" s="6">
        <v>33778</v>
      </c>
      <c r="F481" s="6">
        <v>442</v>
      </c>
      <c r="G481" s="6">
        <v>502847</v>
      </c>
      <c r="H481" s="6">
        <v>580061065</v>
      </c>
      <c r="I481" s="6">
        <v>15589619</v>
      </c>
      <c r="J481" s="6">
        <v>595650684</v>
      </c>
      <c r="K481" s="7">
        <v>0.90217999999999998</v>
      </c>
      <c r="L481" s="6">
        <f t="shared" si="7"/>
        <v>1184.5565032703785</v>
      </c>
    </row>
    <row r="482" spans="1:12" x14ac:dyDescent="0.25">
      <c r="A482" s="2" t="s">
        <v>161</v>
      </c>
      <c r="B482" s="2" t="s">
        <v>162</v>
      </c>
      <c r="C482" s="2" t="s">
        <v>178</v>
      </c>
      <c r="D482" s="3">
        <v>0</v>
      </c>
      <c r="E482" s="3">
        <v>1</v>
      </c>
      <c r="F482" s="3">
        <v>0</v>
      </c>
      <c r="G482" s="3">
        <v>1</v>
      </c>
      <c r="H482" s="3">
        <v>0</v>
      </c>
      <c r="I482" s="3">
        <v>0</v>
      </c>
      <c r="J482" s="3">
        <v>0</v>
      </c>
      <c r="K482" s="4">
        <v>0</v>
      </c>
      <c r="L482" s="3">
        <f t="shared" si="7"/>
        <v>0</v>
      </c>
    </row>
    <row r="483" spans="1:12" x14ac:dyDescent="0.25">
      <c r="A483" s="5" t="s">
        <v>161</v>
      </c>
      <c r="B483" s="5" t="s">
        <v>366</v>
      </c>
      <c r="C483" s="5" t="s">
        <v>379</v>
      </c>
      <c r="D483" s="6">
        <v>2</v>
      </c>
      <c r="E483" s="6">
        <v>0</v>
      </c>
      <c r="F483" s="6">
        <v>0</v>
      </c>
      <c r="G483" s="6">
        <v>2</v>
      </c>
      <c r="H483" s="6">
        <v>32428000</v>
      </c>
      <c r="I483" s="6">
        <v>0</v>
      </c>
      <c r="J483" s="6">
        <v>32428000</v>
      </c>
      <c r="K483" s="7">
        <v>1</v>
      </c>
      <c r="L483" s="6">
        <f t="shared" si="7"/>
        <v>16214000</v>
      </c>
    </row>
    <row r="484" spans="1:12" x14ac:dyDescent="0.25">
      <c r="A484" s="2" t="s">
        <v>161</v>
      </c>
      <c r="B484" s="2" t="s">
        <v>369</v>
      </c>
      <c r="C484" s="2" t="s">
        <v>208</v>
      </c>
      <c r="D484" s="3">
        <v>238782</v>
      </c>
      <c r="E484" s="3">
        <v>1934</v>
      </c>
      <c r="F484" s="3">
        <v>108</v>
      </c>
      <c r="G484" s="3">
        <v>240824</v>
      </c>
      <c r="H484" s="3">
        <v>322103970</v>
      </c>
      <c r="I484" s="3">
        <v>1558962</v>
      </c>
      <c r="J484" s="3">
        <v>323662932</v>
      </c>
      <c r="K484" s="4">
        <v>0.98043999999999998</v>
      </c>
      <c r="L484" s="3">
        <f t="shared" si="7"/>
        <v>1343.9812144968939</v>
      </c>
    </row>
    <row r="485" spans="1:12" x14ac:dyDescent="0.25">
      <c r="A485" s="5" t="s">
        <v>161</v>
      </c>
      <c r="B485" s="5" t="s">
        <v>366</v>
      </c>
      <c r="C485" s="5" t="s">
        <v>380</v>
      </c>
      <c r="D485" s="6">
        <v>1</v>
      </c>
      <c r="E485" s="6">
        <v>0</v>
      </c>
      <c r="F485" s="6">
        <v>0</v>
      </c>
      <c r="G485" s="6">
        <v>1</v>
      </c>
      <c r="H485" s="6">
        <v>32428000</v>
      </c>
      <c r="I485" s="6">
        <v>0</v>
      </c>
      <c r="J485" s="6">
        <v>32428000</v>
      </c>
      <c r="K485" s="7">
        <v>1</v>
      </c>
      <c r="L485" s="6">
        <f t="shared" si="7"/>
        <v>32428000</v>
      </c>
    </row>
    <row r="486" spans="1:12" x14ac:dyDescent="0.25">
      <c r="A486" s="2" t="s">
        <v>161</v>
      </c>
      <c r="B486" s="2" t="s">
        <v>162</v>
      </c>
      <c r="C486" s="2" t="s">
        <v>51</v>
      </c>
      <c r="D486" s="3">
        <v>0</v>
      </c>
      <c r="E486" s="3">
        <v>1</v>
      </c>
      <c r="F486" s="3">
        <v>0</v>
      </c>
      <c r="G486" s="3">
        <v>1</v>
      </c>
      <c r="H486" s="3">
        <v>0</v>
      </c>
      <c r="I486" s="3">
        <v>0</v>
      </c>
      <c r="J486" s="3">
        <v>0</v>
      </c>
      <c r="K486" s="4">
        <v>0</v>
      </c>
      <c r="L486" s="3">
        <f t="shared" si="7"/>
        <v>0</v>
      </c>
    </row>
    <row r="487" spans="1:12" x14ac:dyDescent="0.25">
      <c r="A487" s="5" t="s">
        <v>161</v>
      </c>
      <c r="B487" s="5" t="s">
        <v>369</v>
      </c>
      <c r="C487" s="5" t="s">
        <v>381</v>
      </c>
      <c r="D487" s="6">
        <v>210446</v>
      </c>
      <c r="E487" s="6">
        <v>1773</v>
      </c>
      <c r="F487" s="6">
        <v>87</v>
      </c>
      <c r="G487" s="6">
        <v>212306</v>
      </c>
      <c r="H487" s="6">
        <v>322103970</v>
      </c>
      <c r="I487" s="6">
        <v>1559155</v>
      </c>
      <c r="J487" s="6">
        <v>323663125</v>
      </c>
      <c r="K487" s="7">
        <v>0.98043999999999998</v>
      </c>
      <c r="L487" s="6">
        <f t="shared" si="7"/>
        <v>1524.5123783595377</v>
      </c>
    </row>
    <row r="488" spans="1:12" x14ac:dyDescent="0.25">
      <c r="A488" s="2" t="s">
        <v>161</v>
      </c>
      <c r="B488" s="2" t="s">
        <v>162</v>
      </c>
      <c r="C488" s="2" t="s">
        <v>51</v>
      </c>
      <c r="D488" s="3">
        <v>0</v>
      </c>
      <c r="E488" s="3">
        <v>1</v>
      </c>
      <c r="F488" s="3">
        <v>0</v>
      </c>
      <c r="G488" s="3">
        <v>1</v>
      </c>
      <c r="H488" s="3">
        <v>0</v>
      </c>
      <c r="I488" s="3">
        <v>0</v>
      </c>
      <c r="J488" s="3">
        <v>0</v>
      </c>
      <c r="K488" s="4">
        <v>0</v>
      </c>
      <c r="L488" s="3">
        <f t="shared" si="7"/>
        <v>0</v>
      </c>
    </row>
    <row r="489" spans="1:12" x14ac:dyDescent="0.25">
      <c r="A489" s="5" t="s">
        <v>15</v>
      </c>
      <c r="B489" s="5" t="s">
        <v>16</v>
      </c>
      <c r="C489" s="5" t="s">
        <v>171</v>
      </c>
      <c r="D489" s="6">
        <v>328986</v>
      </c>
      <c r="E489" s="6">
        <v>4976</v>
      </c>
      <c r="F489" s="6">
        <v>2109</v>
      </c>
      <c r="G489" s="6">
        <v>336071</v>
      </c>
      <c r="H489" s="6">
        <v>2708734869</v>
      </c>
      <c r="I489" s="6">
        <v>4332323046</v>
      </c>
      <c r="J489" s="6">
        <v>7041057915</v>
      </c>
      <c r="K489" s="7">
        <v>0.53977200000000003</v>
      </c>
      <c r="L489" s="6">
        <f t="shared" si="7"/>
        <v>20951.102341469512</v>
      </c>
    </row>
    <row r="490" spans="1:12" x14ac:dyDescent="0.25">
      <c r="A490" s="2" t="s">
        <v>15</v>
      </c>
      <c r="B490" s="2" t="s">
        <v>16</v>
      </c>
      <c r="C490" s="2" t="s">
        <v>172</v>
      </c>
      <c r="D490" s="3">
        <v>373367</v>
      </c>
      <c r="E490" s="3">
        <v>4704</v>
      </c>
      <c r="F490" s="3">
        <v>2603</v>
      </c>
      <c r="G490" s="3">
        <v>380674</v>
      </c>
      <c r="H490" s="3">
        <v>2949857480</v>
      </c>
      <c r="I490" s="3">
        <v>4520185835</v>
      </c>
      <c r="J490" s="3">
        <v>7470043315</v>
      </c>
      <c r="K490" s="4">
        <v>0.57265999999999995</v>
      </c>
      <c r="L490" s="3">
        <f t="shared" si="7"/>
        <v>19623.20335772866</v>
      </c>
    </row>
    <row r="491" spans="1:12" x14ac:dyDescent="0.25">
      <c r="A491" s="5" t="s">
        <v>15</v>
      </c>
      <c r="B491" s="5" t="s">
        <v>16</v>
      </c>
      <c r="C491" s="5" t="s">
        <v>173</v>
      </c>
      <c r="D491" s="6">
        <v>760785</v>
      </c>
      <c r="E491" s="6">
        <v>7212</v>
      </c>
      <c r="F491" s="6">
        <v>2712</v>
      </c>
      <c r="G491" s="6">
        <v>770709</v>
      </c>
      <c r="H491" s="6">
        <v>3684060179</v>
      </c>
      <c r="I491" s="6">
        <v>4566457037</v>
      </c>
      <c r="J491" s="6">
        <v>8250517216</v>
      </c>
      <c r="K491" s="7">
        <v>0.63249</v>
      </c>
      <c r="L491" s="6">
        <f t="shared" si="7"/>
        <v>10705.100389381725</v>
      </c>
    </row>
    <row r="492" spans="1:12" x14ac:dyDescent="0.25">
      <c r="A492" s="2" t="s">
        <v>15</v>
      </c>
      <c r="B492" s="2" t="s">
        <v>16</v>
      </c>
      <c r="C492" s="2" t="s">
        <v>174</v>
      </c>
      <c r="D492" s="3">
        <v>719683</v>
      </c>
      <c r="E492" s="3">
        <v>6665</v>
      </c>
      <c r="F492" s="3">
        <v>2693</v>
      </c>
      <c r="G492" s="3">
        <v>729041</v>
      </c>
      <c r="H492" s="3">
        <v>3684060179</v>
      </c>
      <c r="I492" s="3">
        <v>4566442248</v>
      </c>
      <c r="J492" s="3">
        <v>8250502427</v>
      </c>
      <c r="K492" s="4">
        <v>0.63250300000000004</v>
      </c>
      <c r="L492" s="3">
        <f t="shared" si="7"/>
        <v>11316.925148242692</v>
      </c>
    </row>
    <row r="493" spans="1:12" x14ac:dyDescent="0.25">
      <c r="A493" s="5" t="s">
        <v>15</v>
      </c>
      <c r="B493" s="5" t="s">
        <v>16</v>
      </c>
      <c r="C493" s="5" t="s">
        <v>175</v>
      </c>
      <c r="D493" s="6">
        <v>858992</v>
      </c>
      <c r="E493" s="6">
        <v>5807</v>
      </c>
      <c r="F493" s="6">
        <v>2748</v>
      </c>
      <c r="G493" s="6">
        <v>867547</v>
      </c>
      <c r="H493" s="6">
        <v>3701760571</v>
      </c>
      <c r="I493" s="6">
        <v>4566511125</v>
      </c>
      <c r="J493" s="6">
        <v>8268271696</v>
      </c>
      <c r="K493" s="7">
        <v>0.63385100000000005</v>
      </c>
      <c r="L493" s="6">
        <f t="shared" si="7"/>
        <v>9530.6325720681416</v>
      </c>
    </row>
    <row r="494" spans="1:12" x14ac:dyDescent="0.25">
      <c r="A494" s="2" t="s">
        <v>15</v>
      </c>
      <c r="B494" s="2" t="s">
        <v>16</v>
      </c>
      <c r="C494" s="2" t="s">
        <v>176</v>
      </c>
      <c r="D494" s="3">
        <v>861524</v>
      </c>
      <c r="E494" s="3">
        <v>5184</v>
      </c>
      <c r="F494" s="3">
        <v>2592</v>
      </c>
      <c r="G494" s="3">
        <v>869300</v>
      </c>
      <c r="H494" s="3">
        <v>3701760571</v>
      </c>
      <c r="I494" s="3">
        <v>4566445852</v>
      </c>
      <c r="J494" s="3">
        <v>8268206423</v>
      </c>
      <c r="K494" s="4">
        <v>0.63385000000000002</v>
      </c>
      <c r="L494" s="3">
        <f t="shared" si="7"/>
        <v>9511.3383446451171</v>
      </c>
    </row>
    <row r="495" spans="1:12" x14ac:dyDescent="0.25">
      <c r="A495" s="5" t="s">
        <v>15</v>
      </c>
      <c r="B495" s="5" t="s">
        <v>16</v>
      </c>
      <c r="C495" s="5" t="s">
        <v>177</v>
      </c>
      <c r="D495" s="6">
        <v>905484</v>
      </c>
      <c r="E495" s="6">
        <v>5344</v>
      </c>
      <c r="F495" s="6">
        <v>2372</v>
      </c>
      <c r="G495" s="6">
        <v>913200</v>
      </c>
      <c r="H495" s="6">
        <v>3483155534</v>
      </c>
      <c r="I495" s="6">
        <v>4410955873</v>
      </c>
      <c r="J495" s="6">
        <v>7894111407</v>
      </c>
      <c r="K495" s="7">
        <v>0.61248000000000002</v>
      </c>
      <c r="L495" s="6">
        <f t="shared" si="7"/>
        <v>8644.4496353482264</v>
      </c>
    </row>
    <row r="496" spans="1:12" x14ac:dyDescent="0.25">
      <c r="A496" s="2" t="s">
        <v>15</v>
      </c>
      <c r="B496" s="2" t="s">
        <v>16</v>
      </c>
      <c r="C496" s="2" t="s">
        <v>178</v>
      </c>
      <c r="D496" s="3">
        <v>1112256</v>
      </c>
      <c r="E496" s="3">
        <v>5892</v>
      </c>
      <c r="F496" s="3">
        <v>2656</v>
      </c>
      <c r="G496" s="3">
        <v>1120804</v>
      </c>
      <c r="H496" s="3">
        <v>3478483761</v>
      </c>
      <c r="I496" s="3">
        <v>4410960450</v>
      </c>
      <c r="J496" s="3">
        <v>7889444211</v>
      </c>
      <c r="K496" s="4">
        <v>0.61212</v>
      </c>
      <c r="L496" s="3">
        <f t="shared" si="7"/>
        <v>7039.0935533777538</v>
      </c>
    </row>
    <row r="497" spans="1:12" x14ac:dyDescent="0.25">
      <c r="A497" s="5" t="s">
        <v>15</v>
      </c>
      <c r="B497" s="5" t="s">
        <v>16</v>
      </c>
      <c r="C497" s="5" t="s">
        <v>17</v>
      </c>
      <c r="D497" s="6">
        <v>1175160</v>
      </c>
      <c r="E497" s="6">
        <v>5987</v>
      </c>
      <c r="F497" s="6">
        <v>2628</v>
      </c>
      <c r="G497" s="6">
        <v>1183775</v>
      </c>
      <c r="H497" s="6">
        <v>3478479815</v>
      </c>
      <c r="I497" s="6">
        <v>4410957710</v>
      </c>
      <c r="J497" s="6">
        <v>7889437525</v>
      </c>
      <c r="K497" s="7">
        <v>0.61212</v>
      </c>
      <c r="L497" s="6">
        <f t="shared" si="7"/>
        <v>6664.6427952947142</v>
      </c>
    </row>
    <row r="498" spans="1:12" x14ac:dyDescent="0.25">
      <c r="A498" s="2" t="s">
        <v>58</v>
      </c>
      <c r="B498" s="2" t="s">
        <v>59</v>
      </c>
      <c r="C498" s="2" t="s">
        <v>258</v>
      </c>
      <c r="D498" s="3">
        <v>2662</v>
      </c>
      <c r="E498" s="3">
        <v>26</v>
      </c>
      <c r="F498" s="3">
        <v>145</v>
      </c>
      <c r="G498" s="3">
        <v>2833</v>
      </c>
      <c r="H498" s="3">
        <v>125812219</v>
      </c>
      <c r="I498" s="3">
        <v>0</v>
      </c>
      <c r="J498" s="3">
        <v>125812219</v>
      </c>
      <c r="K498" s="4">
        <v>0.89625265999999992</v>
      </c>
      <c r="L498" s="3">
        <f t="shared" si="7"/>
        <v>44409.537239675257</v>
      </c>
    </row>
    <row r="499" spans="1:12" x14ac:dyDescent="0.25">
      <c r="A499" s="5" t="s">
        <v>58</v>
      </c>
      <c r="B499" s="5" t="s">
        <v>59</v>
      </c>
      <c r="C499" s="5" t="s">
        <v>382</v>
      </c>
      <c r="D499" s="6">
        <v>13764</v>
      </c>
      <c r="E499" s="6">
        <v>76</v>
      </c>
      <c r="F499" s="6">
        <v>239</v>
      </c>
      <c r="G499" s="6">
        <v>14079</v>
      </c>
      <c r="H499" s="6">
        <v>126730759</v>
      </c>
      <c r="I499" s="6">
        <v>0</v>
      </c>
      <c r="J499" s="6">
        <v>126730759</v>
      </c>
      <c r="K499" s="7">
        <v>0.89902492000000001</v>
      </c>
      <c r="L499" s="6">
        <f t="shared" si="7"/>
        <v>9001.4034377441585</v>
      </c>
    </row>
    <row r="500" spans="1:12" x14ac:dyDescent="0.25">
      <c r="A500" s="2" t="s">
        <v>58</v>
      </c>
      <c r="B500" s="2" t="s">
        <v>59</v>
      </c>
      <c r="C500" s="2" t="s">
        <v>383</v>
      </c>
      <c r="D500" s="3">
        <v>50944</v>
      </c>
      <c r="E500" s="3">
        <v>359</v>
      </c>
      <c r="F500" s="3">
        <v>417</v>
      </c>
      <c r="G500" s="3">
        <v>51720</v>
      </c>
      <c r="H500" s="3">
        <v>807220415</v>
      </c>
      <c r="I500" s="3">
        <v>0</v>
      </c>
      <c r="J500" s="3">
        <v>807220415</v>
      </c>
      <c r="K500" s="4">
        <v>0.9190391200000001</v>
      </c>
      <c r="L500" s="3">
        <f t="shared" si="7"/>
        <v>15607.509957463264</v>
      </c>
    </row>
    <row r="501" spans="1:12" x14ac:dyDescent="0.25">
      <c r="A501" s="5" t="s">
        <v>58</v>
      </c>
      <c r="B501" s="5" t="s">
        <v>59</v>
      </c>
      <c r="C501" s="5" t="s">
        <v>384</v>
      </c>
      <c r="D501" s="6">
        <v>72118</v>
      </c>
      <c r="E501" s="6">
        <v>438</v>
      </c>
      <c r="F501" s="6">
        <v>876</v>
      </c>
      <c r="G501" s="6">
        <v>73432</v>
      </c>
      <c r="H501" s="6">
        <v>839159130</v>
      </c>
      <c r="I501" s="6">
        <v>0</v>
      </c>
      <c r="J501" s="6">
        <v>839159130</v>
      </c>
      <c r="K501" s="7">
        <v>0.95540000000000003</v>
      </c>
      <c r="L501" s="6">
        <f t="shared" si="7"/>
        <v>11427.703589715655</v>
      </c>
    </row>
    <row r="502" spans="1:12" x14ac:dyDescent="0.25">
      <c r="A502" s="2" t="s">
        <v>58</v>
      </c>
      <c r="B502" s="2" t="s">
        <v>59</v>
      </c>
      <c r="C502" s="2" t="s">
        <v>365</v>
      </c>
      <c r="D502" s="3">
        <v>110432</v>
      </c>
      <c r="E502" s="3">
        <v>844</v>
      </c>
      <c r="F502" s="3">
        <v>1521</v>
      </c>
      <c r="G502" s="3">
        <v>112797</v>
      </c>
      <c r="H502" s="3">
        <v>839159130</v>
      </c>
      <c r="I502" s="3">
        <v>0</v>
      </c>
      <c r="J502" s="3">
        <v>839159130</v>
      </c>
      <c r="K502" s="4">
        <v>0.95540209000000009</v>
      </c>
      <c r="L502" s="3">
        <f t="shared" si="7"/>
        <v>7439.551849783239</v>
      </c>
    </row>
    <row r="503" spans="1:12" x14ac:dyDescent="0.25">
      <c r="A503" s="5" t="s">
        <v>58</v>
      </c>
      <c r="B503" s="5" t="s">
        <v>385</v>
      </c>
      <c r="C503" s="5" t="s">
        <v>386</v>
      </c>
      <c r="D503" s="6">
        <v>0</v>
      </c>
      <c r="E503" s="6">
        <v>1</v>
      </c>
      <c r="F503" s="6">
        <v>0</v>
      </c>
      <c r="G503" s="6">
        <v>1</v>
      </c>
      <c r="H503" s="6">
        <v>0</v>
      </c>
      <c r="I503" s="6">
        <v>0</v>
      </c>
      <c r="J503" s="6">
        <v>0</v>
      </c>
      <c r="K503" s="7">
        <v>0</v>
      </c>
      <c r="L503" s="6">
        <f t="shared" si="7"/>
        <v>0</v>
      </c>
    </row>
    <row r="504" spans="1:12" x14ac:dyDescent="0.25">
      <c r="A504" s="2" t="s">
        <v>58</v>
      </c>
      <c r="B504" s="2" t="s">
        <v>59</v>
      </c>
      <c r="C504" s="2" t="s">
        <v>387</v>
      </c>
      <c r="D504" s="3">
        <v>145456</v>
      </c>
      <c r="E504" s="3">
        <v>1907</v>
      </c>
      <c r="F504" s="3">
        <v>1404</v>
      </c>
      <c r="G504" s="3">
        <v>148767</v>
      </c>
      <c r="H504" s="3">
        <v>804019521</v>
      </c>
      <c r="I504" s="3">
        <v>0</v>
      </c>
      <c r="J504" s="3">
        <v>804019521</v>
      </c>
      <c r="K504" s="4">
        <v>0.90131000000000006</v>
      </c>
      <c r="L504" s="3">
        <f t="shared" si="7"/>
        <v>5404.55558692452</v>
      </c>
    </row>
    <row r="505" spans="1:12" x14ac:dyDescent="0.25">
      <c r="A505" s="5" t="s">
        <v>58</v>
      </c>
      <c r="B505" s="5" t="s">
        <v>385</v>
      </c>
      <c r="C505" s="5" t="s">
        <v>386</v>
      </c>
      <c r="D505" s="6">
        <v>0</v>
      </c>
      <c r="E505" s="6">
        <v>1</v>
      </c>
      <c r="F505" s="6">
        <v>0</v>
      </c>
      <c r="G505" s="6">
        <v>1</v>
      </c>
      <c r="H505" s="6">
        <v>0</v>
      </c>
      <c r="I505" s="6">
        <v>0</v>
      </c>
      <c r="J505" s="6">
        <v>0</v>
      </c>
      <c r="K505" s="7">
        <v>0</v>
      </c>
      <c r="L505" s="6">
        <f t="shared" si="7"/>
        <v>0</v>
      </c>
    </row>
    <row r="506" spans="1:12" x14ac:dyDescent="0.25">
      <c r="A506" s="2" t="s">
        <v>58</v>
      </c>
      <c r="B506" s="2" t="s">
        <v>59</v>
      </c>
      <c r="C506" s="2" t="s">
        <v>388</v>
      </c>
      <c r="D506" s="3">
        <v>156534</v>
      </c>
      <c r="E506" s="3">
        <v>992</v>
      </c>
      <c r="F506" s="3">
        <v>2846</v>
      </c>
      <c r="G506" s="3">
        <v>160372</v>
      </c>
      <c r="H506" s="3">
        <v>779999989</v>
      </c>
      <c r="I506" s="3">
        <v>0</v>
      </c>
      <c r="J506" s="3">
        <v>779999989</v>
      </c>
      <c r="K506" s="4">
        <v>0.87019999999999997</v>
      </c>
      <c r="L506" s="3">
        <f t="shared" si="7"/>
        <v>4863.6918477040881</v>
      </c>
    </row>
    <row r="507" spans="1:12" x14ac:dyDescent="0.25">
      <c r="A507" s="5" t="s">
        <v>58</v>
      </c>
      <c r="B507" s="5" t="s">
        <v>59</v>
      </c>
      <c r="C507" s="5" t="s">
        <v>165</v>
      </c>
      <c r="D507" s="6">
        <v>167560</v>
      </c>
      <c r="E507" s="6">
        <v>1479</v>
      </c>
      <c r="F507" s="6">
        <v>1381</v>
      </c>
      <c r="G507" s="6">
        <v>170420</v>
      </c>
      <c r="H507" s="6">
        <v>757265605</v>
      </c>
      <c r="I507" s="6">
        <v>0</v>
      </c>
      <c r="J507" s="6">
        <v>757265605</v>
      </c>
      <c r="K507" s="7">
        <v>0.86793000000000009</v>
      </c>
      <c r="L507" s="6">
        <f t="shared" si="7"/>
        <v>4443.5254371552637</v>
      </c>
    </row>
    <row r="508" spans="1:12" x14ac:dyDescent="0.25">
      <c r="A508" s="2" t="s">
        <v>58</v>
      </c>
      <c r="B508" s="2" t="s">
        <v>59</v>
      </c>
      <c r="C508" s="2" t="s">
        <v>57</v>
      </c>
      <c r="D508" s="3">
        <v>158586</v>
      </c>
      <c r="E508" s="3">
        <v>1266</v>
      </c>
      <c r="F508" s="3">
        <v>1931</v>
      </c>
      <c r="G508" s="3">
        <v>161783</v>
      </c>
      <c r="H508" s="3">
        <v>747547356</v>
      </c>
      <c r="I508" s="3">
        <v>0</v>
      </c>
      <c r="J508" s="3">
        <v>747547356</v>
      </c>
      <c r="K508" s="4">
        <v>0.85679000000000005</v>
      </c>
      <c r="L508" s="3">
        <f t="shared" si="7"/>
        <v>4620.6792802704858</v>
      </c>
    </row>
    <row r="509" spans="1:12" x14ac:dyDescent="0.25">
      <c r="A509" s="5" t="s">
        <v>62</v>
      </c>
      <c r="B509" s="5" t="s">
        <v>63</v>
      </c>
      <c r="C509" s="5" t="s">
        <v>389</v>
      </c>
      <c r="D509" s="6">
        <v>4739</v>
      </c>
      <c r="E509" s="6">
        <v>27</v>
      </c>
      <c r="F509" s="6">
        <v>771</v>
      </c>
      <c r="G509" s="6">
        <v>5537</v>
      </c>
      <c r="H509" s="6">
        <v>94313194</v>
      </c>
      <c r="I509" s="6">
        <v>0</v>
      </c>
      <c r="J509" s="6">
        <v>94313194</v>
      </c>
      <c r="K509" s="7">
        <v>0.29172664999999998</v>
      </c>
      <c r="L509" s="6">
        <f t="shared" si="7"/>
        <v>17033.266028535309</v>
      </c>
    </row>
    <row r="510" spans="1:12" x14ac:dyDescent="0.25">
      <c r="A510" s="2" t="s">
        <v>62</v>
      </c>
      <c r="B510" s="2" t="s">
        <v>63</v>
      </c>
      <c r="C510" s="2" t="s">
        <v>390</v>
      </c>
      <c r="D510" s="3">
        <v>11557</v>
      </c>
      <c r="E510" s="3">
        <v>64</v>
      </c>
      <c r="F510" s="3">
        <v>914</v>
      </c>
      <c r="G510" s="3">
        <v>12535</v>
      </c>
      <c r="H510" s="3">
        <v>94159042</v>
      </c>
      <c r="I510" s="3">
        <v>0</v>
      </c>
      <c r="J510" s="3">
        <v>94159042</v>
      </c>
      <c r="K510" s="4">
        <v>0.29124983999999998</v>
      </c>
      <c r="L510" s="3">
        <f t="shared" si="7"/>
        <v>7511.69062624651</v>
      </c>
    </row>
    <row r="511" spans="1:12" x14ac:dyDescent="0.25">
      <c r="A511" s="5" t="s">
        <v>62</v>
      </c>
      <c r="B511" s="5" t="s">
        <v>63</v>
      </c>
      <c r="C511" s="5" t="s">
        <v>391</v>
      </c>
      <c r="D511" s="6">
        <v>32713</v>
      </c>
      <c r="E511" s="6">
        <v>107</v>
      </c>
      <c r="F511" s="6">
        <v>841</v>
      </c>
      <c r="G511" s="6">
        <v>33661</v>
      </c>
      <c r="H511" s="6">
        <v>93637072</v>
      </c>
      <c r="I511" s="6">
        <v>0</v>
      </c>
      <c r="J511" s="6">
        <v>93637072</v>
      </c>
      <c r="K511" s="7">
        <v>0.28963528999999999</v>
      </c>
      <c r="L511" s="6">
        <f t="shared" si="7"/>
        <v>2781.7673865898219</v>
      </c>
    </row>
    <row r="512" spans="1:12" x14ac:dyDescent="0.25">
      <c r="A512" s="2" t="s">
        <v>62</v>
      </c>
      <c r="B512" s="2" t="s">
        <v>63</v>
      </c>
      <c r="C512" s="2" t="s">
        <v>392</v>
      </c>
      <c r="D512" s="3">
        <v>76856</v>
      </c>
      <c r="E512" s="3">
        <v>413</v>
      </c>
      <c r="F512" s="3">
        <v>666</v>
      </c>
      <c r="G512" s="3">
        <v>77935</v>
      </c>
      <c r="H512" s="3">
        <v>181864206</v>
      </c>
      <c r="I512" s="3">
        <v>0</v>
      </c>
      <c r="J512" s="3">
        <v>181864206</v>
      </c>
      <c r="K512" s="4">
        <v>0.28126836999999999</v>
      </c>
      <c r="L512" s="3">
        <f t="shared" si="7"/>
        <v>2333.5369987810354</v>
      </c>
    </row>
    <row r="513" spans="1:12" x14ac:dyDescent="0.25">
      <c r="A513" s="5" t="s">
        <v>62</v>
      </c>
      <c r="B513" s="5" t="s">
        <v>63</v>
      </c>
      <c r="C513" s="5" t="s">
        <v>393</v>
      </c>
      <c r="D513" s="6">
        <v>99784</v>
      </c>
      <c r="E513" s="6">
        <v>388</v>
      </c>
      <c r="F513" s="6">
        <v>644</v>
      </c>
      <c r="G513" s="6">
        <v>100816</v>
      </c>
      <c r="H513" s="6">
        <v>179759767</v>
      </c>
      <c r="I513" s="6">
        <v>0</v>
      </c>
      <c r="J513" s="6">
        <v>179759767</v>
      </c>
      <c r="K513" s="7">
        <v>0.27801367999999999</v>
      </c>
      <c r="L513" s="6">
        <f t="shared" si="7"/>
        <v>1783.0479983335979</v>
      </c>
    </row>
    <row r="514" spans="1:12" x14ac:dyDescent="0.25">
      <c r="A514" s="2" t="s">
        <v>62</v>
      </c>
      <c r="B514" s="2" t="s">
        <v>63</v>
      </c>
      <c r="C514" s="2" t="s">
        <v>393</v>
      </c>
      <c r="D514" s="3">
        <v>126938</v>
      </c>
      <c r="E514" s="3">
        <v>448</v>
      </c>
      <c r="F514" s="3">
        <v>695</v>
      </c>
      <c r="G514" s="3">
        <v>128081</v>
      </c>
      <c r="H514" s="3">
        <v>181531496</v>
      </c>
      <c r="I514" s="3">
        <v>0</v>
      </c>
      <c r="J514" s="3">
        <v>181531496</v>
      </c>
      <c r="K514" s="4">
        <v>0.28075</v>
      </c>
      <c r="L514" s="3">
        <f t="shared" ref="L514:L577" si="8">IFERROR(J514/G514,"")</f>
        <v>1417.3179160062773</v>
      </c>
    </row>
    <row r="515" spans="1:12" x14ac:dyDescent="0.25">
      <c r="A515" s="5" t="s">
        <v>62</v>
      </c>
      <c r="B515" s="5" t="s">
        <v>63</v>
      </c>
      <c r="C515" s="5" t="s">
        <v>394</v>
      </c>
      <c r="D515" s="6">
        <v>127965</v>
      </c>
      <c r="E515" s="6">
        <v>407</v>
      </c>
      <c r="F515" s="6">
        <v>512</v>
      </c>
      <c r="G515" s="6">
        <v>128884</v>
      </c>
      <c r="H515" s="6">
        <v>182560698</v>
      </c>
      <c r="I515" s="6">
        <v>0</v>
      </c>
      <c r="J515" s="6">
        <v>182560698</v>
      </c>
      <c r="K515" s="7">
        <v>0.28234999999999999</v>
      </c>
      <c r="L515" s="6">
        <f t="shared" si="8"/>
        <v>1416.4729369045033</v>
      </c>
    </row>
    <row r="516" spans="1:12" x14ac:dyDescent="0.25">
      <c r="A516" s="2" t="s">
        <v>62</v>
      </c>
      <c r="B516" s="2" t="s">
        <v>63</v>
      </c>
      <c r="C516" s="2" t="s">
        <v>64</v>
      </c>
      <c r="D516" s="3">
        <v>139038</v>
      </c>
      <c r="E516" s="3">
        <v>527</v>
      </c>
      <c r="F516" s="3">
        <v>854</v>
      </c>
      <c r="G516" s="3">
        <v>140419</v>
      </c>
      <c r="H516" s="3">
        <v>178825403</v>
      </c>
      <c r="I516" s="3">
        <v>0</v>
      </c>
      <c r="J516" s="3">
        <v>178825403</v>
      </c>
      <c r="K516" s="4">
        <v>0.27656999999999998</v>
      </c>
      <c r="L516" s="3">
        <f t="shared" si="8"/>
        <v>1273.5128650681177</v>
      </c>
    </row>
    <row r="517" spans="1:12" x14ac:dyDescent="0.25">
      <c r="A517" s="5" t="s">
        <v>62</v>
      </c>
      <c r="B517" s="5" t="s">
        <v>63</v>
      </c>
      <c r="C517" s="5" t="s">
        <v>64</v>
      </c>
      <c r="D517" s="6">
        <v>139038</v>
      </c>
      <c r="E517" s="6">
        <v>525</v>
      </c>
      <c r="F517" s="6">
        <v>856</v>
      </c>
      <c r="G517" s="6">
        <v>140419</v>
      </c>
      <c r="H517" s="6">
        <v>178825403</v>
      </c>
      <c r="I517" s="6">
        <v>0</v>
      </c>
      <c r="J517" s="6">
        <v>178825403</v>
      </c>
      <c r="K517" s="7">
        <v>0.27656999999999998</v>
      </c>
      <c r="L517" s="6">
        <f t="shared" si="8"/>
        <v>1273.5128650681177</v>
      </c>
    </row>
    <row r="518" spans="1:12" x14ac:dyDescent="0.25">
      <c r="A518" s="2" t="s">
        <v>109</v>
      </c>
      <c r="B518" s="2" t="s">
        <v>110</v>
      </c>
      <c r="C518" s="2" t="s">
        <v>395</v>
      </c>
      <c r="D518" s="3">
        <v>9285</v>
      </c>
      <c r="E518" s="3">
        <v>109</v>
      </c>
      <c r="F518" s="3">
        <v>1228</v>
      </c>
      <c r="G518" s="3">
        <v>10622</v>
      </c>
      <c r="H518" s="3">
        <v>211224469</v>
      </c>
      <c r="I518" s="3">
        <v>0</v>
      </c>
      <c r="J518" s="3">
        <v>211224469</v>
      </c>
      <c r="K518" s="4">
        <v>0.63932633000000005</v>
      </c>
      <c r="L518" s="3">
        <f t="shared" si="8"/>
        <v>19885.564771229525</v>
      </c>
    </row>
    <row r="519" spans="1:12" x14ac:dyDescent="0.25">
      <c r="A519" s="5" t="s">
        <v>109</v>
      </c>
      <c r="B519" s="5" t="s">
        <v>110</v>
      </c>
      <c r="C519" s="5" t="s">
        <v>396</v>
      </c>
      <c r="D519" s="6">
        <v>15153</v>
      </c>
      <c r="E519" s="6">
        <v>135</v>
      </c>
      <c r="F519" s="6">
        <v>1159</v>
      </c>
      <c r="G519" s="6">
        <v>16447</v>
      </c>
      <c r="H519" s="6">
        <v>213553757</v>
      </c>
      <c r="I519" s="6">
        <v>0</v>
      </c>
      <c r="J519" s="6">
        <v>213553757</v>
      </c>
      <c r="K519" s="7">
        <v>0.64637652999999995</v>
      </c>
      <c r="L519" s="6">
        <f t="shared" si="8"/>
        <v>12984.359275247765</v>
      </c>
    </row>
    <row r="520" spans="1:12" x14ac:dyDescent="0.25">
      <c r="A520" s="2" t="s">
        <v>109</v>
      </c>
      <c r="B520" s="2" t="s">
        <v>110</v>
      </c>
      <c r="C520" s="2" t="s">
        <v>397</v>
      </c>
      <c r="D520" s="3">
        <v>42777</v>
      </c>
      <c r="E520" s="3">
        <v>1756</v>
      </c>
      <c r="F520" s="3">
        <v>0</v>
      </c>
      <c r="G520" s="3">
        <v>44533</v>
      </c>
      <c r="H520" s="3">
        <v>1072645150</v>
      </c>
      <c r="I520" s="3">
        <v>0</v>
      </c>
      <c r="J520" s="3">
        <v>1072645150</v>
      </c>
      <c r="K520" s="4">
        <v>0.64932845000000006</v>
      </c>
      <c r="L520" s="3">
        <f t="shared" si="8"/>
        <v>24086.523476972132</v>
      </c>
    </row>
    <row r="521" spans="1:12" x14ac:dyDescent="0.25">
      <c r="A521" s="5" t="s">
        <v>109</v>
      </c>
      <c r="B521" s="5" t="s">
        <v>110</v>
      </c>
      <c r="C521" s="5" t="s">
        <v>260</v>
      </c>
      <c r="D521" s="6">
        <v>61752</v>
      </c>
      <c r="E521" s="6">
        <v>201</v>
      </c>
      <c r="F521" s="6">
        <v>1422</v>
      </c>
      <c r="G521" s="6">
        <v>63375</v>
      </c>
      <c r="H521" s="6">
        <v>1071076905</v>
      </c>
      <c r="I521" s="6">
        <v>0</v>
      </c>
      <c r="J521" s="6">
        <v>1071076905</v>
      </c>
      <c r="K521" s="7">
        <v>0.64837911000000004</v>
      </c>
      <c r="L521" s="6">
        <f t="shared" si="8"/>
        <v>16900.621775147931</v>
      </c>
    </row>
    <row r="522" spans="1:12" x14ac:dyDescent="0.25">
      <c r="A522" s="2" t="s">
        <v>109</v>
      </c>
      <c r="B522" s="2" t="s">
        <v>110</v>
      </c>
      <c r="C522" s="2" t="s">
        <v>256</v>
      </c>
      <c r="D522" s="3">
        <v>53806</v>
      </c>
      <c r="E522" s="3">
        <v>204</v>
      </c>
      <c r="F522" s="3">
        <v>1651</v>
      </c>
      <c r="G522" s="3">
        <v>55661</v>
      </c>
      <c r="H522" s="3">
        <v>1213799562</v>
      </c>
      <c r="I522" s="3">
        <v>0</v>
      </c>
      <c r="J522" s="3">
        <v>1213799562</v>
      </c>
      <c r="K522" s="4">
        <v>0.73477663000000004</v>
      </c>
      <c r="L522" s="3">
        <f t="shared" si="8"/>
        <v>21807.002425396597</v>
      </c>
    </row>
    <row r="523" spans="1:12" x14ac:dyDescent="0.25">
      <c r="A523" s="5" t="s">
        <v>109</v>
      </c>
      <c r="B523" s="5" t="s">
        <v>110</v>
      </c>
      <c r="C523" s="5" t="s">
        <v>398</v>
      </c>
      <c r="D523" s="6">
        <v>53700</v>
      </c>
      <c r="E523" s="6">
        <v>213</v>
      </c>
      <c r="F523" s="6">
        <v>1481</v>
      </c>
      <c r="G523" s="6">
        <v>55394</v>
      </c>
      <c r="H523" s="6">
        <v>1279770315</v>
      </c>
      <c r="I523" s="6">
        <v>0</v>
      </c>
      <c r="J523" s="6">
        <v>1279770315</v>
      </c>
      <c r="K523" s="7">
        <v>0.74492000000000003</v>
      </c>
      <c r="L523" s="6">
        <f t="shared" si="8"/>
        <v>23103.049337473374</v>
      </c>
    </row>
    <row r="524" spans="1:12" x14ac:dyDescent="0.25">
      <c r="A524" s="2" t="s">
        <v>109</v>
      </c>
      <c r="B524" s="2" t="s">
        <v>110</v>
      </c>
      <c r="C524" s="2" t="s">
        <v>309</v>
      </c>
      <c r="D524" s="3">
        <v>48419</v>
      </c>
      <c r="E524" s="3">
        <v>134</v>
      </c>
      <c r="F524" s="3">
        <v>1402</v>
      </c>
      <c r="G524" s="3">
        <v>49955</v>
      </c>
      <c r="H524" s="3">
        <v>1303623282</v>
      </c>
      <c r="I524" s="3">
        <v>0</v>
      </c>
      <c r="J524" s="3">
        <v>1303623282</v>
      </c>
      <c r="K524" s="4">
        <v>0.75879999999999992</v>
      </c>
      <c r="L524" s="3">
        <f t="shared" si="8"/>
        <v>26095.951996797117</v>
      </c>
    </row>
    <row r="525" spans="1:12" x14ac:dyDescent="0.25">
      <c r="A525" s="5" t="s">
        <v>109</v>
      </c>
      <c r="B525" s="5" t="s">
        <v>110</v>
      </c>
      <c r="C525" s="5" t="s">
        <v>51</v>
      </c>
      <c r="D525" s="6">
        <v>59973</v>
      </c>
      <c r="E525" s="6">
        <v>303</v>
      </c>
      <c r="F525" s="6">
        <v>1489</v>
      </c>
      <c r="G525" s="6">
        <v>61765</v>
      </c>
      <c r="H525" s="6">
        <v>1316346770</v>
      </c>
      <c r="I525" s="6">
        <v>0</v>
      </c>
      <c r="J525" s="6">
        <v>1316346770</v>
      </c>
      <c r="K525" s="7">
        <v>0.75117999999999996</v>
      </c>
      <c r="L525" s="6">
        <f t="shared" si="8"/>
        <v>21312.179551525944</v>
      </c>
    </row>
    <row r="526" spans="1:12" x14ac:dyDescent="0.25">
      <c r="A526" s="2" t="s">
        <v>109</v>
      </c>
      <c r="B526" s="2" t="s">
        <v>110</v>
      </c>
      <c r="C526" s="2" t="s">
        <v>51</v>
      </c>
      <c r="D526" s="3">
        <v>59973</v>
      </c>
      <c r="E526" s="3">
        <v>303</v>
      </c>
      <c r="F526" s="3">
        <v>1489</v>
      </c>
      <c r="G526" s="3">
        <v>61765</v>
      </c>
      <c r="H526" s="3">
        <v>1315741209</v>
      </c>
      <c r="I526" s="3">
        <v>0</v>
      </c>
      <c r="J526" s="3">
        <v>1315741209</v>
      </c>
      <c r="K526" s="4">
        <v>0.75084000000000006</v>
      </c>
      <c r="L526" s="3">
        <f t="shared" si="8"/>
        <v>21302.375277260584</v>
      </c>
    </row>
    <row r="527" spans="1:12" x14ac:dyDescent="0.25">
      <c r="A527" s="5" t="s">
        <v>134</v>
      </c>
      <c r="B527" s="5" t="s">
        <v>135</v>
      </c>
      <c r="C527" s="5" t="s">
        <v>223</v>
      </c>
      <c r="D527" s="6">
        <v>35804</v>
      </c>
      <c r="E527" s="6">
        <v>288</v>
      </c>
      <c r="F527" s="6">
        <v>1125</v>
      </c>
      <c r="G527" s="6">
        <v>37217</v>
      </c>
      <c r="H527" s="6">
        <v>1115172711</v>
      </c>
      <c r="I527" s="6">
        <v>0</v>
      </c>
      <c r="J527" s="6">
        <v>1115172711</v>
      </c>
      <c r="K527" s="7">
        <v>0.71530553999999991</v>
      </c>
      <c r="L527" s="6">
        <f t="shared" si="8"/>
        <v>29964.067791600613</v>
      </c>
    </row>
    <row r="528" spans="1:12" x14ac:dyDescent="0.25">
      <c r="A528" s="2" t="s">
        <v>134</v>
      </c>
      <c r="B528" s="2" t="s">
        <v>135</v>
      </c>
      <c r="C528" s="2" t="s">
        <v>224</v>
      </c>
      <c r="D528" s="3">
        <v>40628</v>
      </c>
      <c r="E528" s="3">
        <v>857</v>
      </c>
      <c r="F528" s="3">
        <v>20</v>
      </c>
      <c r="G528" s="3">
        <v>41505</v>
      </c>
      <c r="H528" s="3">
        <v>1053753059</v>
      </c>
      <c r="I528" s="3">
        <v>0</v>
      </c>
      <c r="J528" s="3">
        <v>1053753059</v>
      </c>
      <c r="K528" s="4">
        <v>0.67590000000000006</v>
      </c>
      <c r="L528" s="3">
        <f t="shared" si="8"/>
        <v>25388.581110709554</v>
      </c>
    </row>
    <row r="529" spans="1:12" x14ac:dyDescent="0.25">
      <c r="A529" s="5" t="s">
        <v>134</v>
      </c>
      <c r="B529" s="5" t="s">
        <v>135</v>
      </c>
      <c r="C529" s="5" t="s">
        <v>399</v>
      </c>
      <c r="D529" s="6">
        <v>65595</v>
      </c>
      <c r="E529" s="6">
        <v>1587</v>
      </c>
      <c r="F529" s="6">
        <v>41</v>
      </c>
      <c r="G529" s="6">
        <v>67223</v>
      </c>
      <c r="H529" s="6">
        <v>1216056103</v>
      </c>
      <c r="I529" s="6">
        <v>0</v>
      </c>
      <c r="J529" s="6">
        <v>1216056103</v>
      </c>
      <c r="K529" s="7">
        <v>0.65569999999999995</v>
      </c>
      <c r="L529" s="6">
        <f t="shared" si="8"/>
        <v>18089.881484015888</v>
      </c>
    </row>
    <row r="530" spans="1:12" x14ac:dyDescent="0.25">
      <c r="A530" s="2" t="s">
        <v>134</v>
      </c>
      <c r="B530" s="2" t="s">
        <v>135</v>
      </c>
      <c r="C530" s="2" t="s">
        <v>277</v>
      </c>
      <c r="D530" s="3">
        <v>80106</v>
      </c>
      <c r="E530" s="3">
        <v>2276</v>
      </c>
      <c r="F530" s="3">
        <v>46</v>
      </c>
      <c r="G530" s="3">
        <v>82428</v>
      </c>
      <c r="H530" s="3">
        <v>1216056103</v>
      </c>
      <c r="I530" s="3">
        <v>0</v>
      </c>
      <c r="J530" s="3">
        <v>1216056103</v>
      </c>
      <c r="K530" s="4">
        <v>0.65569999999999995</v>
      </c>
      <c r="L530" s="3">
        <f t="shared" si="8"/>
        <v>14752.949276944728</v>
      </c>
    </row>
    <row r="531" spans="1:12" x14ac:dyDescent="0.25">
      <c r="A531" s="5" t="s">
        <v>134</v>
      </c>
      <c r="B531" s="5" t="s">
        <v>135</v>
      </c>
      <c r="C531" s="5" t="s">
        <v>211</v>
      </c>
      <c r="D531" s="6">
        <v>70706</v>
      </c>
      <c r="E531" s="6">
        <v>1970</v>
      </c>
      <c r="F531" s="6">
        <v>112</v>
      </c>
      <c r="G531" s="6">
        <v>72788</v>
      </c>
      <c r="H531" s="6">
        <v>1215642613</v>
      </c>
      <c r="I531" s="6">
        <v>0</v>
      </c>
      <c r="J531" s="6">
        <v>1215642613</v>
      </c>
      <c r="K531" s="7">
        <v>0.65560000000000007</v>
      </c>
      <c r="L531" s="6">
        <f t="shared" si="8"/>
        <v>16701.140476452161</v>
      </c>
    </row>
    <row r="532" spans="1:12" x14ac:dyDescent="0.25">
      <c r="A532" s="2" t="s">
        <v>134</v>
      </c>
      <c r="B532" s="2" t="s">
        <v>135</v>
      </c>
      <c r="C532" s="2" t="s">
        <v>400</v>
      </c>
      <c r="D532" s="3">
        <v>54144</v>
      </c>
      <c r="E532" s="3">
        <v>483</v>
      </c>
      <c r="F532" s="3">
        <v>1158</v>
      </c>
      <c r="G532" s="3">
        <v>55785</v>
      </c>
      <c r="H532" s="3">
        <v>1218352541</v>
      </c>
      <c r="I532" s="3">
        <v>0</v>
      </c>
      <c r="J532" s="3">
        <v>1218352541</v>
      </c>
      <c r="K532" s="4">
        <v>0.65683999999999998</v>
      </c>
      <c r="L532" s="3">
        <f t="shared" si="8"/>
        <v>21840.145935287263</v>
      </c>
    </row>
    <row r="533" spans="1:12" x14ac:dyDescent="0.25">
      <c r="A533" s="5" t="s">
        <v>134</v>
      </c>
      <c r="B533" s="5" t="s">
        <v>135</v>
      </c>
      <c r="C533" s="5" t="s">
        <v>183</v>
      </c>
      <c r="D533" s="6">
        <v>40305</v>
      </c>
      <c r="E533" s="6">
        <v>292</v>
      </c>
      <c r="F533" s="6">
        <v>1182</v>
      </c>
      <c r="G533" s="6">
        <v>41779</v>
      </c>
      <c r="H533" s="6">
        <v>1216914397</v>
      </c>
      <c r="I533" s="6">
        <v>0</v>
      </c>
      <c r="J533" s="6">
        <v>1216914397</v>
      </c>
      <c r="K533" s="7">
        <v>0.65605999999999998</v>
      </c>
      <c r="L533" s="6">
        <f t="shared" si="8"/>
        <v>29127.418009047607</v>
      </c>
    </row>
    <row r="534" spans="1:12" x14ac:dyDescent="0.25">
      <c r="A534" s="2" t="s">
        <v>134</v>
      </c>
      <c r="B534" s="2" t="s">
        <v>135</v>
      </c>
      <c r="C534" s="2" t="s">
        <v>401</v>
      </c>
      <c r="D534" s="3">
        <v>31912</v>
      </c>
      <c r="E534" s="3">
        <v>192</v>
      </c>
      <c r="F534" s="3">
        <v>1088</v>
      </c>
      <c r="G534" s="3">
        <v>33192</v>
      </c>
      <c r="H534" s="3">
        <v>1221155293</v>
      </c>
      <c r="I534" s="3">
        <v>0</v>
      </c>
      <c r="J534" s="3">
        <v>1221155293</v>
      </c>
      <c r="K534" s="4">
        <v>0.65694999999999992</v>
      </c>
      <c r="L534" s="3">
        <f t="shared" si="8"/>
        <v>36790.651150879727</v>
      </c>
    </row>
    <row r="535" spans="1:12" x14ac:dyDescent="0.25">
      <c r="A535" s="5" t="s">
        <v>134</v>
      </c>
      <c r="B535" s="5" t="s">
        <v>135</v>
      </c>
      <c r="C535" s="5" t="s">
        <v>103</v>
      </c>
      <c r="D535" s="6">
        <v>31504</v>
      </c>
      <c r="E535" s="6">
        <v>263</v>
      </c>
      <c r="F535" s="6">
        <v>1051</v>
      </c>
      <c r="G535" s="6">
        <v>32818</v>
      </c>
      <c r="H535" s="6">
        <v>1406822230</v>
      </c>
      <c r="I535" s="6">
        <v>0</v>
      </c>
      <c r="J535" s="6">
        <v>1406822230</v>
      </c>
      <c r="K535" s="7">
        <v>0.75683000000000011</v>
      </c>
      <c r="L535" s="6">
        <f t="shared" si="8"/>
        <v>42867.396855384242</v>
      </c>
    </row>
    <row r="536" spans="1:12" x14ac:dyDescent="0.25">
      <c r="A536" s="2" t="s">
        <v>113</v>
      </c>
      <c r="B536" s="2" t="s">
        <v>114</v>
      </c>
      <c r="C536" s="2" t="s">
        <v>263</v>
      </c>
      <c r="D536" s="3">
        <v>7</v>
      </c>
      <c r="E536" s="3">
        <v>7</v>
      </c>
      <c r="F536" s="3">
        <v>0</v>
      </c>
      <c r="G536" s="3">
        <v>14</v>
      </c>
      <c r="H536" s="3">
        <v>348624586</v>
      </c>
      <c r="I536" s="3">
        <v>0</v>
      </c>
      <c r="J536" s="3">
        <v>348624586</v>
      </c>
      <c r="K536" s="4">
        <v>0.37901193</v>
      </c>
      <c r="L536" s="3">
        <f t="shared" si="8"/>
        <v>24901756.142857142</v>
      </c>
    </row>
    <row r="537" spans="1:12" x14ac:dyDescent="0.25">
      <c r="A537" s="5" t="s">
        <v>113</v>
      </c>
      <c r="B537" s="5" t="s">
        <v>114</v>
      </c>
      <c r="C537" s="5" t="s">
        <v>402</v>
      </c>
      <c r="D537" s="6">
        <v>59</v>
      </c>
      <c r="E537" s="6">
        <v>9</v>
      </c>
      <c r="F537" s="6">
        <v>0</v>
      </c>
      <c r="G537" s="6">
        <v>68</v>
      </c>
      <c r="H537" s="6">
        <v>878087590</v>
      </c>
      <c r="I537" s="6">
        <v>0</v>
      </c>
      <c r="J537" s="6">
        <v>878087590</v>
      </c>
      <c r="K537" s="7">
        <v>0.44229000000000002</v>
      </c>
      <c r="L537" s="6">
        <f t="shared" si="8"/>
        <v>12913052.794117646</v>
      </c>
    </row>
    <row r="538" spans="1:12" x14ac:dyDescent="0.25">
      <c r="A538" s="2" t="s">
        <v>113</v>
      </c>
      <c r="B538" s="2" t="s">
        <v>114</v>
      </c>
      <c r="C538" s="2" t="s">
        <v>260</v>
      </c>
      <c r="D538" s="3">
        <v>54151</v>
      </c>
      <c r="E538" s="3">
        <v>2031</v>
      </c>
      <c r="F538" s="3">
        <v>0</v>
      </c>
      <c r="G538" s="3">
        <v>56182</v>
      </c>
      <c r="H538" s="3">
        <v>929901433</v>
      </c>
      <c r="I538" s="3">
        <v>0</v>
      </c>
      <c r="J538" s="3">
        <v>929901433</v>
      </c>
      <c r="K538" s="4">
        <v>0.46255000000000002</v>
      </c>
      <c r="L538" s="3">
        <f t="shared" si="8"/>
        <v>16551.590064433447</v>
      </c>
    </row>
    <row r="539" spans="1:12" x14ac:dyDescent="0.25">
      <c r="A539" s="5" t="s">
        <v>113</v>
      </c>
      <c r="B539" s="5" t="s">
        <v>114</v>
      </c>
      <c r="C539" s="5" t="s">
        <v>260</v>
      </c>
      <c r="D539" s="6">
        <v>54151</v>
      </c>
      <c r="E539" s="6">
        <v>2031</v>
      </c>
      <c r="F539" s="6">
        <v>0</v>
      </c>
      <c r="G539" s="6">
        <v>56182</v>
      </c>
      <c r="H539" s="6">
        <v>1095177074</v>
      </c>
      <c r="I539" s="6">
        <v>0</v>
      </c>
      <c r="J539" s="6">
        <v>1095177074</v>
      </c>
      <c r="K539" s="7">
        <v>0.47836000000000001</v>
      </c>
      <c r="L539" s="6">
        <f t="shared" si="8"/>
        <v>19493.379979352816</v>
      </c>
    </row>
    <row r="540" spans="1:12" x14ac:dyDescent="0.25">
      <c r="A540" s="2" t="s">
        <v>113</v>
      </c>
      <c r="B540" s="2" t="s">
        <v>114</v>
      </c>
      <c r="C540" s="2" t="s">
        <v>403</v>
      </c>
      <c r="D540" s="3">
        <v>85356</v>
      </c>
      <c r="E540" s="3">
        <v>1955</v>
      </c>
      <c r="F540" s="3">
        <v>0</v>
      </c>
      <c r="G540" s="3">
        <v>87311</v>
      </c>
      <c r="H540" s="3">
        <v>1144776793</v>
      </c>
      <c r="I540" s="3">
        <v>0</v>
      </c>
      <c r="J540" s="3">
        <v>1144776793</v>
      </c>
      <c r="K540" s="4">
        <v>0.50005999999999995</v>
      </c>
      <c r="L540" s="3">
        <f t="shared" si="8"/>
        <v>13111.484154344813</v>
      </c>
    </row>
    <row r="541" spans="1:12" x14ac:dyDescent="0.25">
      <c r="A541" s="5" t="s">
        <v>113</v>
      </c>
      <c r="B541" s="5" t="s">
        <v>114</v>
      </c>
      <c r="C541" s="5" t="s">
        <v>183</v>
      </c>
      <c r="D541" s="6">
        <v>73356</v>
      </c>
      <c r="E541" s="6">
        <v>1715</v>
      </c>
      <c r="F541" s="6">
        <v>0</v>
      </c>
      <c r="G541" s="6">
        <v>75071</v>
      </c>
      <c r="H541" s="6">
        <v>1145289019</v>
      </c>
      <c r="I541" s="6">
        <v>0</v>
      </c>
      <c r="J541" s="6">
        <v>1145289019</v>
      </c>
      <c r="K541" s="7">
        <v>0.50027999999999995</v>
      </c>
      <c r="L541" s="6">
        <f t="shared" si="8"/>
        <v>15256.077832984774</v>
      </c>
    </row>
    <row r="542" spans="1:12" x14ac:dyDescent="0.25">
      <c r="A542" s="2" t="s">
        <v>113</v>
      </c>
      <c r="B542" s="2" t="s">
        <v>114</v>
      </c>
      <c r="C542" s="2" t="s">
        <v>106</v>
      </c>
      <c r="D542" s="3">
        <v>52465</v>
      </c>
      <c r="E542" s="3">
        <v>2159</v>
      </c>
      <c r="F542" s="3">
        <v>0</v>
      </c>
      <c r="G542" s="3">
        <v>54624</v>
      </c>
      <c r="H542" s="3">
        <v>1071214328</v>
      </c>
      <c r="I542" s="3">
        <v>0</v>
      </c>
      <c r="J542" s="3">
        <v>1071214328</v>
      </c>
      <c r="K542" s="4">
        <v>0.46792</v>
      </c>
      <c r="L542" s="3">
        <f t="shared" si="8"/>
        <v>19610.689953134155</v>
      </c>
    </row>
    <row r="543" spans="1:12" x14ac:dyDescent="0.25">
      <c r="A543" s="5" t="s">
        <v>113</v>
      </c>
      <c r="B543" s="5" t="s">
        <v>114</v>
      </c>
      <c r="C543" s="5" t="s">
        <v>115</v>
      </c>
      <c r="D543" s="6">
        <v>54554</v>
      </c>
      <c r="E543" s="6">
        <v>2128</v>
      </c>
      <c r="F543" s="6">
        <v>0</v>
      </c>
      <c r="G543" s="6">
        <v>56682</v>
      </c>
      <c r="H543" s="6">
        <v>1030028001</v>
      </c>
      <c r="I543" s="6">
        <v>0</v>
      </c>
      <c r="J543" s="6">
        <v>1030028001</v>
      </c>
      <c r="K543" s="7">
        <v>0.45977000000000001</v>
      </c>
      <c r="L543" s="6">
        <f t="shared" si="8"/>
        <v>18172.047581242721</v>
      </c>
    </row>
    <row r="544" spans="1:12" x14ac:dyDescent="0.25">
      <c r="A544" s="2" t="s">
        <v>158</v>
      </c>
      <c r="B544" s="2" t="s">
        <v>404</v>
      </c>
      <c r="C544" s="2" t="s">
        <v>204</v>
      </c>
      <c r="D544" s="3">
        <v>12694</v>
      </c>
      <c r="E544" s="3">
        <v>1209</v>
      </c>
      <c r="F544" s="3">
        <v>730</v>
      </c>
      <c r="G544" s="3">
        <v>14633</v>
      </c>
      <c r="H544" s="3">
        <v>560843706</v>
      </c>
      <c r="I544" s="3">
        <v>0</v>
      </c>
      <c r="J544" s="3">
        <v>560843706</v>
      </c>
      <c r="K544" s="4">
        <v>0.77641631</v>
      </c>
      <c r="L544" s="3">
        <f t="shared" si="8"/>
        <v>38327.322216906992</v>
      </c>
    </row>
    <row r="545" spans="1:12" x14ac:dyDescent="0.25">
      <c r="A545" s="5" t="s">
        <v>158</v>
      </c>
      <c r="B545" s="5" t="s">
        <v>159</v>
      </c>
      <c r="C545" s="5" t="s">
        <v>405</v>
      </c>
      <c r="D545" s="6">
        <v>0</v>
      </c>
      <c r="E545" s="6">
        <v>1</v>
      </c>
      <c r="F545" s="6">
        <v>0</v>
      </c>
      <c r="G545" s="6">
        <v>1</v>
      </c>
      <c r="H545" s="6">
        <v>0</v>
      </c>
      <c r="I545" s="6">
        <v>0</v>
      </c>
      <c r="J545" s="6">
        <v>0</v>
      </c>
      <c r="K545" s="7">
        <v>0</v>
      </c>
      <c r="L545" s="6">
        <f t="shared" si="8"/>
        <v>0</v>
      </c>
    </row>
    <row r="546" spans="1:12" x14ac:dyDescent="0.25">
      <c r="A546" s="2" t="s">
        <v>158</v>
      </c>
      <c r="B546" s="2" t="s">
        <v>404</v>
      </c>
      <c r="C546" s="2" t="s">
        <v>406</v>
      </c>
      <c r="D546" s="3">
        <v>41896</v>
      </c>
      <c r="E546" s="3">
        <v>1410</v>
      </c>
      <c r="F546" s="3">
        <v>861</v>
      </c>
      <c r="G546" s="3">
        <v>44167</v>
      </c>
      <c r="H546" s="3">
        <v>594568300</v>
      </c>
      <c r="I546" s="3">
        <v>0</v>
      </c>
      <c r="J546" s="3">
        <v>594568300</v>
      </c>
      <c r="K546" s="4">
        <v>0.78390828000000001</v>
      </c>
      <c r="L546" s="3">
        <f t="shared" si="8"/>
        <v>13461.822174926981</v>
      </c>
    </row>
    <row r="547" spans="1:12" x14ac:dyDescent="0.25">
      <c r="A547" s="5" t="s">
        <v>158</v>
      </c>
      <c r="B547" s="5" t="s">
        <v>159</v>
      </c>
      <c r="C547" s="5" t="s">
        <v>407</v>
      </c>
      <c r="D547" s="6">
        <v>0</v>
      </c>
      <c r="E547" s="6">
        <v>1</v>
      </c>
      <c r="F547" s="6">
        <v>0</v>
      </c>
      <c r="G547" s="6">
        <v>1</v>
      </c>
      <c r="H547" s="6">
        <v>0</v>
      </c>
      <c r="I547" s="6">
        <v>0</v>
      </c>
      <c r="J547" s="6">
        <v>0</v>
      </c>
      <c r="K547" s="7">
        <v>0</v>
      </c>
      <c r="L547" s="6">
        <f t="shared" si="8"/>
        <v>0</v>
      </c>
    </row>
    <row r="548" spans="1:12" x14ac:dyDescent="0.25">
      <c r="A548" s="2" t="s">
        <v>158</v>
      </c>
      <c r="B548" s="2" t="s">
        <v>404</v>
      </c>
      <c r="C548" s="2" t="s">
        <v>408</v>
      </c>
      <c r="D548" s="3">
        <v>35748</v>
      </c>
      <c r="E548" s="3">
        <v>1253</v>
      </c>
      <c r="F548" s="3">
        <v>924</v>
      </c>
      <c r="G548" s="3">
        <v>37925</v>
      </c>
      <c r="H548" s="3">
        <v>592069308</v>
      </c>
      <c r="I548" s="3">
        <v>0</v>
      </c>
      <c r="J548" s="3">
        <v>592069308</v>
      </c>
      <c r="K548" s="4">
        <v>0.78061347999999997</v>
      </c>
      <c r="L548" s="3">
        <f t="shared" si="8"/>
        <v>15611.583599208965</v>
      </c>
    </row>
    <row r="549" spans="1:12" x14ac:dyDescent="0.25">
      <c r="A549" s="5" t="s">
        <v>158</v>
      </c>
      <c r="B549" s="5" t="s">
        <v>159</v>
      </c>
      <c r="C549" s="5" t="s">
        <v>180</v>
      </c>
      <c r="D549" s="6">
        <v>0</v>
      </c>
      <c r="E549" s="6">
        <v>1</v>
      </c>
      <c r="F549" s="6">
        <v>0</v>
      </c>
      <c r="G549" s="6">
        <v>1</v>
      </c>
      <c r="H549" s="6">
        <v>0</v>
      </c>
      <c r="I549" s="6">
        <v>0</v>
      </c>
      <c r="J549" s="6">
        <v>0</v>
      </c>
      <c r="K549" s="7">
        <v>0</v>
      </c>
      <c r="L549" s="6">
        <f t="shared" si="8"/>
        <v>0</v>
      </c>
    </row>
    <row r="550" spans="1:12" x14ac:dyDescent="0.25">
      <c r="A550" s="2" t="s">
        <v>158</v>
      </c>
      <c r="B550" s="2" t="s">
        <v>404</v>
      </c>
      <c r="C550" s="2" t="s">
        <v>292</v>
      </c>
      <c r="D550" s="3">
        <v>37072</v>
      </c>
      <c r="E550" s="3">
        <v>1409</v>
      </c>
      <c r="F550" s="3">
        <v>877</v>
      </c>
      <c r="G550" s="3">
        <v>39358</v>
      </c>
      <c r="H550" s="3">
        <v>594630383</v>
      </c>
      <c r="I550" s="3">
        <v>0</v>
      </c>
      <c r="J550" s="3">
        <v>594630383</v>
      </c>
      <c r="K550" s="4">
        <v>0.78399012999999995</v>
      </c>
      <c r="L550" s="3">
        <f t="shared" si="8"/>
        <v>15108.246938360689</v>
      </c>
    </row>
    <row r="551" spans="1:12" x14ac:dyDescent="0.25">
      <c r="A551" s="5" t="s">
        <v>158</v>
      </c>
      <c r="B551" s="5" t="s">
        <v>159</v>
      </c>
      <c r="C551" s="5" t="s">
        <v>211</v>
      </c>
      <c r="D551" s="6">
        <v>0</v>
      </c>
      <c r="E551" s="6">
        <v>1</v>
      </c>
      <c r="F551" s="6">
        <v>0</v>
      </c>
      <c r="G551" s="6">
        <v>1</v>
      </c>
      <c r="H551" s="6">
        <v>0</v>
      </c>
      <c r="I551" s="6">
        <v>0</v>
      </c>
      <c r="J551" s="6">
        <v>0</v>
      </c>
      <c r="K551" s="7">
        <v>0</v>
      </c>
      <c r="L551" s="6">
        <f t="shared" si="8"/>
        <v>0</v>
      </c>
    </row>
    <row r="552" spans="1:12" x14ac:dyDescent="0.25">
      <c r="A552" s="2" t="s">
        <v>158</v>
      </c>
      <c r="B552" s="2" t="s">
        <v>404</v>
      </c>
      <c r="C552" s="2" t="s">
        <v>409</v>
      </c>
      <c r="D552" s="3">
        <v>48122</v>
      </c>
      <c r="E552" s="3">
        <v>1637</v>
      </c>
      <c r="F552" s="3">
        <v>773</v>
      </c>
      <c r="G552" s="3">
        <v>50532</v>
      </c>
      <c r="H552" s="3">
        <v>902440151</v>
      </c>
      <c r="I552" s="3">
        <v>0</v>
      </c>
      <c r="J552" s="3">
        <v>902440151</v>
      </c>
      <c r="K552" s="4">
        <v>0.91299812999999996</v>
      </c>
      <c r="L552" s="3">
        <f t="shared" si="8"/>
        <v>17858.785541834877</v>
      </c>
    </row>
    <row r="553" spans="1:12" x14ac:dyDescent="0.25">
      <c r="A553" s="5" t="s">
        <v>158</v>
      </c>
      <c r="B553" s="5" t="s">
        <v>159</v>
      </c>
      <c r="C553" s="5" t="s">
        <v>182</v>
      </c>
      <c r="D553" s="6">
        <v>0</v>
      </c>
      <c r="E553" s="6">
        <v>1</v>
      </c>
      <c r="F553" s="6">
        <v>0</v>
      </c>
      <c r="G553" s="6">
        <v>1</v>
      </c>
      <c r="H553" s="6">
        <v>0</v>
      </c>
      <c r="I553" s="6">
        <v>0</v>
      </c>
      <c r="J553" s="6">
        <v>0</v>
      </c>
      <c r="K553" s="7">
        <v>0</v>
      </c>
      <c r="L553" s="6">
        <f t="shared" si="8"/>
        <v>0</v>
      </c>
    </row>
    <row r="554" spans="1:12" x14ac:dyDescent="0.25">
      <c r="A554" s="2" t="s">
        <v>158</v>
      </c>
      <c r="B554" s="2" t="s">
        <v>404</v>
      </c>
      <c r="C554" s="2" t="s">
        <v>410</v>
      </c>
      <c r="D554" s="3">
        <v>50945</v>
      </c>
      <c r="E554" s="3">
        <v>1810</v>
      </c>
      <c r="F554" s="3">
        <v>329</v>
      </c>
      <c r="G554" s="3">
        <v>53084</v>
      </c>
      <c r="H554" s="3">
        <v>854504168</v>
      </c>
      <c r="I554" s="3">
        <v>0</v>
      </c>
      <c r="J554" s="3">
        <v>854504168</v>
      </c>
      <c r="K554" s="4">
        <v>0.79718999999999995</v>
      </c>
      <c r="L554" s="3">
        <f t="shared" si="8"/>
        <v>16097.207595509004</v>
      </c>
    </row>
    <row r="555" spans="1:12" x14ac:dyDescent="0.25">
      <c r="A555" s="5" t="s">
        <v>158</v>
      </c>
      <c r="B555" s="5" t="s">
        <v>159</v>
      </c>
      <c r="C555" s="5" t="s">
        <v>411</v>
      </c>
      <c r="D555" s="6">
        <v>0</v>
      </c>
      <c r="E555" s="6">
        <v>1</v>
      </c>
      <c r="F555" s="6">
        <v>0</v>
      </c>
      <c r="G555" s="6">
        <v>1</v>
      </c>
      <c r="H555" s="6">
        <v>0</v>
      </c>
      <c r="I555" s="6">
        <v>0</v>
      </c>
      <c r="J555" s="6">
        <v>0</v>
      </c>
      <c r="K555" s="7">
        <v>0</v>
      </c>
      <c r="L555" s="6">
        <f t="shared" si="8"/>
        <v>0</v>
      </c>
    </row>
    <row r="556" spans="1:12" x14ac:dyDescent="0.25">
      <c r="A556" s="2" t="s">
        <v>158</v>
      </c>
      <c r="B556" s="2" t="s">
        <v>404</v>
      </c>
      <c r="C556" s="2" t="s">
        <v>412</v>
      </c>
      <c r="D556" s="3">
        <v>42620</v>
      </c>
      <c r="E556" s="3">
        <v>1347</v>
      </c>
      <c r="F556" s="3">
        <v>343</v>
      </c>
      <c r="G556" s="3">
        <v>44310</v>
      </c>
      <c r="H556" s="3">
        <v>979108879</v>
      </c>
      <c r="I556" s="3">
        <v>0</v>
      </c>
      <c r="J556" s="3">
        <v>979108879</v>
      </c>
      <c r="K556" s="4">
        <v>0.90438999999999992</v>
      </c>
      <c r="L556" s="3">
        <f t="shared" si="8"/>
        <v>22096.792575039493</v>
      </c>
    </row>
    <row r="557" spans="1:12" x14ac:dyDescent="0.25">
      <c r="A557" s="5" t="s">
        <v>158</v>
      </c>
      <c r="B557" s="5" t="s">
        <v>159</v>
      </c>
      <c r="C557" s="5" t="s">
        <v>413</v>
      </c>
      <c r="D557" s="6">
        <v>0</v>
      </c>
      <c r="E557" s="6">
        <v>1</v>
      </c>
      <c r="F557" s="6">
        <v>0</v>
      </c>
      <c r="G557" s="6">
        <v>1</v>
      </c>
      <c r="H557" s="6">
        <v>0</v>
      </c>
      <c r="I557" s="6">
        <v>0</v>
      </c>
      <c r="J557" s="6">
        <v>0</v>
      </c>
      <c r="K557" s="7">
        <v>0</v>
      </c>
      <c r="L557" s="6">
        <f t="shared" si="8"/>
        <v>0</v>
      </c>
    </row>
    <row r="558" spans="1:12" x14ac:dyDescent="0.25">
      <c r="A558" s="2" t="s">
        <v>158</v>
      </c>
      <c r="B558" s="2" t="s">
        <v>404</v>
      </c>
      <c r="C558" s="2" t="s">
        <v>20</v>
      </c>
      <c r="D558" s="3">
        <v>69351</v>
      </c>
      <c r="E558" s="3">
        <v>2405</v>
      </c>
      <c r="F558" s="3">
        <v>586</v>
      </c>
      <c r="G558" s="3">
        <v>72342</v>
      </c>
      <c r="H558" s="3">
        <v>978887813</v>
      </c>
      <c r="I558" s="3">
        <v>36815268</v>
      </c>
      <c r="J558" s="3">
        <v>1015703081</v>
      </c>
      <c r="K558" s="4">
        <v>0.90343999999999991</v>
      </c>
      <c r="L558" s="3">
        <f t="shared" si="8"/>
        <v>14040.295830914269</v>
      </c>
    </row>
    <row r="559" spans="1:12" x14ac:dyDescent="0.25">
      <c r="A559" s="5" t="s">
        <v>158</v>
      </c>
      <c r="B559" s="5" t="s">
        <v>159</v>
      </c>
      <c r="C559" s="5" t="s">
        <v>160</v>
      </c>
      <c r="D559" s="6">
        <v>0</v>
      </c>
      <c r="E559" s="6">
        <v>1</v>
      </c>
      <c r="F559" s="6">
        <v>0</v>
      </c>
      <c r="G559" s="6">
        <v>1</v>
      </c>
      <c r="H559" s="6">
        <v>0</v>
      </c>
      <c r="I559" s="6">
        <v>0</v>
      </c>
      <c r="J559" s="6">
        <v>0</v>
      </c>
      <c r="K559" s="7">
        <v>0</v>
      </c>
      <c r="L559" s="6">
        <f t="shared" si="8"/>
        <v>0</v>
      </c>
    </row>
    <row r="560" spans="1:12" x14ac:dyDescent="0.25">
      <c r="A560" s="2" t="s">
        <v>158</v>
      </c>
      <c r="B560" s="2" t="s">
        <v>404</v>
      </c>
      <c r="C560" s="2" t="s">
        <v>414</v>
      </c>
      <c r="D560" s="3">
        <v>85249</v>
      </c>
      <c r="E560" s="3">
        <v>2407</v>
      </c>
      <c r="F560" s="3">
        <v>518</v>
      </c>
      <c r="G560" s="3">
        <v>88174</v>
      </c>
      <c r="H560" s="3">
        <v>976491144</v>
      </c>
      <c r="I560" s="3">
        <v>36359919</v>
      </c>
      <c r="J560" s="3">
        <v>1012851063</v>
      </c>
      <c r="K560" s="4">
        <v>0.90090999999999999</v>
      </c>
      <c r="L560" s="3">
        <f t="shared" si="8"/>
        <v>11486.958321047021</v>
      </c>
    </row>
    <row r="561" spans="1:12" x14ac:dyDescent="0.25">
      <c r="A561" s="5" t="s">
        <v>34</v>
      </c>
      <c r="B561" s="5" t="s">
        <v>35</v>
      </c>
      <c r="C561" s="5" t="s">
        <v>258</v>
      </c>
      <c r="D561" s="6">
        <v>150918</v>
      </c>
      <c r="E561" s="6">
        <v>16238</v>
      </c>
      <c r="F561" s="6">
        <v>1084</v>
      </c>
      <c r="G561" s="6">
        <v>168240</v>
      </c>
      <c r="H561" s="6">
        <v>372112887</v>
      </c>
      <c r="I561" s="6">
        <v>399917302</v>
      </c>
      <c r="J561" s="6">
        <v>772030189</v>
      </c>
      <c r="K561" s="7">
        <v>0.1023</v>
      </c>
      <c r="L561" s="6">
        <f t="shared" si="8"/>
        <v>4588.8622741321924</v>
      </c>
    </row>
    <row r="562" spans="1:12" x14ac:dyDescent="0.25">
      <c r="A562" s="2" t="s">
        <v>34</v>
      </c>
      <c r="B562" s="2" t="s">
        <v>35</v>
      </c>
      <c r="C562" s="2" t="s">
        <v>196</v>
      </c>
      <c r="D562" s="3">
        <v>149673</v>
      </c>
      <c r="E562" s="3">
        <v>16198</v>
      </c>
      <c r="F562" s="3">
        <v>1108</v>
      </c>
      <c r="G562" s="3">
        <v>166979</v>
      </c>
      <c r="H562" s="3">
        <v>362227661</v>
      </c>
      <c r="I562" s="3">
        <v>390032076</v>
      </c>
      <c r="J562" s="3">
        <v>752259737</v>
      </c>
      <c r="K562" s="4">
        <v>0.1003</v>
      </c>
      <c r="L562" s="3">
        <f t="shared" si="8"/>
        <v>4505.1158349253501</v>
      </c>
    </row>
    <row r="563" spans="1:12" x14ac:dyDescent="0.25">
      <c r="A563" s="5" t="s">
        <v>34</v>
      </c>
      <c r="B563" s="5" t="s">
        <v>35</v>
      </c>
      <c r="C563" s="5" t="s">
        <v>187</v>
      </c>
      <c r="D563" s="6">
        <v>185850</v>
      </c>
      <c r="E563" s="6">
        <v>16337</v>
      </c>
      <c r="F563" s="6">
        <v>1041</v>
      </c>
      <c r="G563" s="6">
        <v>203228</v>
      </c>
      <c r="H563" s="6">
        <v>355642348</v>
      </c>
      <c r="I563" s="6">
        <v>383446762</v>
      </c>
      <c r="J563" s="6">
        <v>739089110</v>
      </c>
      <c r="K563" s="7">
        <v>9.8564520000000003E-2</v>
      </c>
      <c r="L563" s="6">
        <f t="shared" si="8"/>
        <v>3636.7484303344027</v>
      </c>
    </row>
    <row r="564" spans="1:12" x14ac:dyDescent="0.25">
      <c r="A564" s="2" t="s">
        <v>34</v>
      </c>
      <c r="B564" s="2" t="s">
        <v>35</v>
      </c>
      <c r="C564" s="2" t="s">
        <v>260</v>
      </c>
      <c r="D564" s="3">
        <v>230961</v>
      </c>
      <c r="E564" s="3">
        <v>16492</v>
      </c>
      <c r="F564" s="3">
        <v>1075</v>
      </c>
      <c r="G564" s="3">
        <v>248528</v>
      </c>
      <c r="H564" s="3">
        <v>362703399</v>
      </c>
      <c r="I564" s="3">
        <v>390507811</v>
      </c>
      <c r="J564" s="3">
        <v>753211210</v>
      </c>
      <c r="K564" s="4">
        <v>0.10045</v>
      </c>
      <c r="L564" s="3">
        <f t="shared" si="8"/>
        <v>3030.6895400115882</v>
      </c>
    </row>
    <row r="565" spans="1:12" x14ac:dyDescent="0.25">
      <c r="A565" s="5" t="s">
        <v>34</v>
      </c>
      <c r="B565" s="5" t="s">
        <v>35</v>
      </c>
      <c r="C565" s="5" t="s">
        <v>415</v>
      </c>
      <c r="D565" s="6">
        <v>230961</v>
      </c>
      <c r="E565" s="6">
        <v>16492</v>
      </c>
      <c r="F565" s="6">
        <v>1075</v>
      </c>
      <c r="G565" s="6">
        <v>248528</v>
      </c>
      <c r="H565" s="6">
        <v>355642848</v>
      </c>
      <c r="I565" s="6">
        <v>383447262</v>
      </c>
      <c r="J565" s="6">
        <v>739090110</v>
      </c>
      <c r="K565" s="7">
        <v>9.8599999999999993E-2</v>
      </c>
      <c r="L565" s="6">
        <f t="shared" si="8"/>
        <v>2973.8705900341211</v>
      </c>
    </row>
    <row r="566" spans="1:12" x14ac:dyDescent="0.25">
      <c r="A566" s="2" t="s">
        <v>34</v>
      </c>
      <c r="B566" s="2" t="s">
        <v>35</v>
      </c>
      <c r="C566" s="2" t="s">
        <v>416</v>
      </c>
      <c r="D566" s="3">
        <v>309543</v>
      </c>
      <c r="E566" s="3">
        <v>16394</v>
      </c>
      <c r="F566" s="3">
        <v>885</v>
      </c>
      <c r="G566" s="3">
        <v>326822</v>
      </c>
      <c r="H566" s="3">
        <v>342918449</v>
      </c>
      <c r="I566" s="3">
        <v>370722862</v>
      </c>
      <c r="J566" s="3">
        <v>713641311</v>
      </c>
      <c r="K566" s="4">
        <v>9.5299999999999996E-2</v>
      </c>
      <c r="L566" s="3">
        <f t="shared" si="8"/>
        <v>2183.5779445692151</v>
      </c>
    </row>
    <row r="567" spans="1:12" x14ac:dyDescent="0.25">
      <c r="A567" s="5" t="s">
        <v>34</v>
      </c>
      <c r="B567" s="5" t="s">
        <v>35</v>
      </c>
      <c r="C567" s="5" t="s">
        <v>213</v>
      </c>
      <c r="D567" s="6">
        <v>330653</v>
      </c>
      <c r="E567" s="6">
        <v>16367</v>
      </c>
      <c r="F567" s="6">
        <v>936</v>
      </c>
      <c r="G567" s="6">
        <v>347956</v>
      </c>
      <c r="H567" s="6">
        <v>356586730</v>
      </c>
      <c r="I567" s="6">
        <v>384391141</v>
      </c>
      <c r="J567" s="6">
        <v>740977871</v>
      </c>
      <c r="K567" s="7">
        <v>9.8819999999999991E-2</v>
      </c>
      <c r="L567" s="6">
        <f t="shared" si="8"/>
        <v>2129.5160048971711</v>
      </c>
    </row>
    <row r="568" spans="1:12" x14ac:dyDescent="0.25">
      <c r="A568" s="2" t="s">
        <v>34</v>
      </c>
      <c r="B568" s="2" t="s">
        <v>35</v>
      </c>
      <c r="C568" s="2" t="s">
        <v>195</v>
      </c>
      <c r="D568" s="3">
        <v>325373</v>
      </c>
      <c r="E568" s="3">
        <v>16106</v>
      </c>
      <c r="F568" s="3">
        <v>921</v>
      </c>
      <c r="G568" s="3">
        <v>342400</v>
      </c>
      <c r="H568" s="3">
        <v>360347199</v>
      </c>
      <c r="I568" s="3">
        <v>388151609</v>
      </c>
      <c r="J568" s="3">
        <v>748498808</v>
      </c>
      <c r="K568" s="4">
        <v>9.9819999999999992E-2</v>
      </c>
      <c r="L568" s="3">
        <f t="shared" si="8"/>
        <v>2186.0362383177571</v>
      </c>
    </row>
    <row r="569" spans="1:12" x14ac:dyDescent="0.25">
      <c r="A569" s="5" t="s">
        <v>34</v>
      </c>
      <c r="B569" s="5" t="s">
        <v>35</v>
      </c>
      <c r="C569" s="5" t="s">
        <v>36</v>
      </c>
      <c r="D569" s="6">
        <v>320070</v>
      </c>
      <c r="E569" s="6">
        <v>16582</v>
      </c>
      <c r="F569" s="6">
        <v>724</v>
      </c>
      <c r="G569" s="6">
        <v>337376</v>
      </c>
      <c r="H569" s="6">
        <v>356245448</v>
      </c>
      <c r="I569" s="6">
        <v>384049858</v>
      </c>
      <c r="J569" s="6">
        <v>740295306</v>
      </c>
      <c r="K569" s="7">
        <v>9.8729999999999998E-2</v>
      </c>
      <c r="L569" s="6">
        <f t="shared" si="8"/>
        <v>2194.2737657687567</v>
      </c>
    </row>
    <row r="570" spans="1:12" x14ac:dyDescent="0.25">
      <c r="A570" s="2" t="s">
        <v>111</v>
      </c>
      <c r="B570" s="2" t="s">
        <v>112</v>
      </c>
      <c r="C570" s="2" t="s">
        <v>204</v>
      </c>
      <c r="D570" s="3">
        <v>7588</v>
      </c>
      <c r="E570" s="3">
        <v>82</v>
      </c>
      <c r="F570" s="3">
        <v>1300</v>
      </c>
      <c r="G570" s="3">
        <v>8970</v>
      </c>
      <c r="H570" s="3">
        <v>339985584</v>
      </c>
      <c r="I570" s="3">
        <v>0</v>
      </c>
      <c r="J570" s="3">
        <v>339985584</v>
      </c>
      <c r="K570" s="4">
        <v>0.49740138</v>
      </c>
      <c r="L570" s="3">
        <f t="shared" si="8"/>
        <v>37902.517725752507</v>
      </c>
    </row>
    <row r="571" spans="1:12" x14ac:dyDescent="0.25">
      <c r="A571" s="5" t="s">
        <v>111</v>
      </c>
      <c r="B571" s="5" t="s">
        <v>112</v>
      </c>
      <c r="C571" s="5" t="s">
        <v>417</v>
      </c>
      <c r="D571" s="6">
        <v>7562</v>
      </c>
      <c r="E571" s="6">
        <v>75</v>
      </c>
      <c r="F571" s="6">
        <v>1356</v>
      </c>
      <c r="G571" s="6">
        <v>8993</v>
      </c>
      <c r="H571" s="6">
        <v>339982576</v>
      </c>
      <c r="I571" s="6">
        <v>0</v>
      </c>
      <c r="J571" s="6">
        <v>339982576</v>
      </c>
      <c r="K571" s="7">
        <v>0.49740696999999989</v>
      </c>
      <c r="L571" s="6">
        <f t="shared" si="8"/>
        <v>37805.245857889473</v>
      </c>
    </row>
    <row r="572" spans="1:12" x14ac:dyDescent="0.25">
      <c r="A572" s="2" t="s">
        <v>111</v>
      </c>
      <c r="B572" s="2" t="s">
        <v>112</v>
      </c>
      <c r="C572" s="2" t="s">
        <v>283</v>
      </c>
      <c r="D572" s="3">
        <v>24181</v>
      </c>
      <c r="E572" s="3">
        <v>1563</v>
      </c>
      <c r="F572" s="3">
        <v>1465</v>
      </c>
      <c r="G572" s="3">
        <v>27209</v>
      </c>
      <c r="H572" s="3">
        <v>339999111</v>
      </c>
      <c r="I572" s="3">
        <v>0</v>
      </c>
      <c r="J572" s="3">
        <v>339999111</v>
      </c>
      <c r="K572" s="4">
        <v>0.49743559999999998</v>
      </c>
      <c r="L572" s="3">
        <f t="shared" si="8"/>
        <v>12495.832665662097</v>
      </c>
    </row>
    <row r="573" spans="1:12" x14ac:dyDescent="0.25">
      <c r="A573" s="5" t="s">
        <v>111</v>
      </c>
      <c r="B573" s="5" t="s">
        <v>112</v>
      </c>
      <c r="C573" s="5" t="s">
        <v>199</v>
      </c>
      <c r="D573" s="6">
        <v>42911</v>
      </c>
      <c r="E573" s="6">
        <v>1683</v>
      </c>
      <c r="F573" s="6">
        <v>118</v>
      </c>
      <c r="G573" s="6">
        <v>44712</v>
      </c>
      <c r="H573" s="6">
        <v>340001934</v>
      </c>
      <c r="I573" s="6">
        <v>0</v>
      </c>
      <c r="J573" s="6">
        <v>340001934</v>
      </c>
      <c r="K573" s="7">
        <v>0.49743530000000002</v>
      </c>
      <c r="L573" s="6">
        <f t="shared" si="8"/>
        <v>7604.2658346752551</v>
      </c>
    </row>
    <row r="574" spans="1:12" x14ac:dyDescent="0.25">
      <c r="A574" s="2" t="s">
        <v>111</v>
      </c>
      <c r="B574" s="2" t="s">
        <v>112</v>
      </c>
      <c r="C574" s="2" t="s">
        <v>200</v>
      </c>
      <c r="D574" s="3">
        <v>33968</v>
      </c>
      <c r="E574" s="3">
        <v>1477</v>
      </c>
      <c r="F574" s="3">
        <v>212</v>
      </c>
      <c r="G574" s="3">
        <v>35657</v>
      </c>
      <c r="H574" s="3">
        <v>340002999</v>
      </c>
      <c r="I574" s="3">
        <v>0</v>
      </c>
      <c r="J574" s="3">
        <v>340002999</v>
      </c>
      <c r="K574" s="4">
        <v>0.49743690000000002</v>
      </c>
      <c r="L574" s="3">
        <f t="shared" si="8"/>
        <v>9535.3787194660235</v>
      </c>
    </row>
    <row r="575" spans="1:12" x14ac:dyDescent="0.25">
      <c r="A575" s="5" t="s">
        <v>111</v>
      </c>
      <c r="B575" s="5" t="s">
        <v>112</v>
      </c>
      <c r="C575" s="5" t="s">
        <v>182</v>
      </c>
      <c r="D575" s="6">
        <v>31775</v>
      </c>
      <c r="E575" s="6">
        <v>1812</v>
      </c>
      <c r="F575" s="6">
        <v>261</v>
      </c>
      <c r="G575" s="6">
        <v>33848</v>
      </c>
      <c r="H575" s="6">
        <v>340001799</v>
      </c>
      <c r="I575" s="6">
        <v>0</v>
      </c>
      <c r="J575" s="6">
        <v>340001799</v>
      </c>
      <c r="K575" s="7">
        <v>0.49743999999999999</v>
      </c>
      <c r="L575" s="6">
        <f t="shared" si="8"/>
        <v>10044.959790829591</v>
      </c>
    </row>
    <row r="576" spans="1:12" x14ac:dyDescent="0.25">
      <c r="A576" s="2" t="s">
        <v>111</v>
      </c>
      <c r="B576" s="2" t="s">
        <v>112</v>
      </c>
      <c r="C576" s="2" t="s">
        <v>418</v>
      </c>
      <c r="D576" s="3">
        <v>57019</v>
      </c>
      <c r="E576" s="3">
        <v>583</v>
      </c>
      <c r="F576" s="3">
        <v>2878</v>
      </c>
      <c r="G576" s="3">
        <v>60480</v>
      </c>
      <c r="H576" s="3">
        <v>683497006</v>
      </c>
      <c r="I576" s="3">
        <v>1</v>
      </c>
      <c r="J576" s="3">
        <v>683497007</v>
      </c>
      <c r="K576" s="4">
        <v>0.99998000000000009</v>
      </c>
      <c r="L576" s="3">
        <f t="shared" si="8"/>
        <v>11301.207126322752</v>
      </c>
    </row>
    <row r="577" spans="1:12" x14ac:dyDescent="0.25">
      <c r="A577" s="5" t="s">
        <v>111</v>
      </c>
      <c r="B577" s="5" t="s">
        <v>112</v>
      </c>
      <c r="C577" s="5" t="s">
        <v>103</v>
      </c>
      <c r="D577" s="6">
        <v>45135</v>
      </c>
      <c r="E577" s="6">
        <v>401</v>
      </c>
      <c r="F577" s="6">
        <v>2169</v>
      </c>
      <c r="G577" s="6">
        <v>47705</v>
      </c>
      <c r="H577" s="6">
        <v>3524534027</v>
      </c>
      <c r="I577" s="6">
        <v>1</v>
      </c>
      <c r="J577" s="6">
        <v>3524534028</v>
      </c>
      <c r="K577" s="7">
        <v>1</v>
      </c>
      <c r="L577" s="6">
        <f t="shared" si="8"/>
        <v>73881.857834608527</v>
      </c>
    </row>
    <row r="578" spans="1:12" x14ac:dyDescent="0.25">
      <c r="A578" s="2" t="s">
        <v>111</v>
      </c>
      <c r="B578" s="2" t="s">
        <v>112</v>
      </c>
      <c r="C578" s="2" t="s">
        <v>103</v>
      </c>
      <c r="D578" s="3">
        <v>57945</v>
      </c>
      <c r="E578" s="3">
        <v>572</v>
      </c>
      <c r="F578" s="3">
        <v>2089</v>
      </c>
      <c r="G578" s="3">
        <v>60606</v>
      </c>
      <c r="H578" s="3">
        <v>3524534025</v>
      </c>
      <c r="I578" s="3">
        <v>1</v>
      </c>
      <c r="J578" s="3">
        <v>3524534026</v>
      </c>
      <c r="K578" s="4">
        <v>1</v>
      </c>
      <c r="L578" s="3">
        <f t="shared" ref="L578:L641" si="9">IFERROR(J578/G578,"")</f>
        <v>58154.869583869586</v>
      </c>
    </row>
    <row r="579" spans="1:12" x14ac:dyDescent="0.25">
      <c r="A579" s="5" t="s">
        <v>101</v>
      </c>
      <c r="B579" s="5" t="s">
        <v>102</v>
      </c>
      <c r="C579" s="5" t="s">
        <v>263</v>
      </c>
      <c r="D579" s="6">
        <v>7260270</v>
      </c>
      <c r="E579" s="6">
        <v>373970</v>
      </c>
      <c r="F579" s="6">
        <v>77594808</v>
      </c>
      <c r="G579" s="6">
        <v>85229048</v>
      </c>
      <c r="H579" s="6">
        <v>85085106</v>
      </c>
      <c r="I579" s="6">
        <v>0</v>
      </c>
      <c r="J579" s="6">
        <v>85085106</v>
      </c>
      <c r="K579" s="7">
        <v>0.44640000000000002</v>
      </c>
      <c r="L579" s="6">
        <f t="shared" si="9"/>
        <v>0.99831111571256781</v>
      </c>
    </row>
    <row r="580" spans="1:12" x14ac:dyDescent="0.25">
      <c r="A580" s="2" t="s">
        <v>101</v>
      </c>
      <c r="B580" s="2" t="s">
        <v>102</v>
      </c>
      <c r="C580" s="2" t="s">
        <v>263</v>
      </c>
      <c r="D580" s="3">
        <v>7260270</v>
      </c>
      <c r="E580" s="3">
        <v>373970</v>
      </c>
      <c r="F580" s="3">
        <v>77594808</v>
      </c>
      <c r="G580" s="3">
        <v>85229048</v>
      </c>
      <c r="H580" s="3">
        <v>85085106</v>
      </c>
      <c r="I580" s="3">
        <v>0</v>
      </c>
      <c r="J580" s="3">
        <v>85085106</v>
      </c>
      <c r="K580" s="4">
        <v>0.44640000000000002</v>
      </c>
      <c r="L580" s="3">
        <f t="shared" si="9"/>
        <v>0.99831111571256781</v>
      </c>
    </row>
    <row r="581" spans="1:12" x14ac:dyDescent="0.25">
      <c r="A581" s="5" t="s">
        <v>101</v>
      </c>
      <c r="B581" s="5" t="s">
        <v>102</v>
      </c>
      <c r="C581" s="5" t="s">
        <v>265</v>
      </c>
      <c r="D581" s="6">
        <v>16798760</v>
      </c>
      <c r="E581" s="6">
        <v>433718</v>
      </c>
      <c r="F581" s="6">
        <v>25735593</v>
      </c>
      <c r="G581" s="6">
        <v>42968071</v>
      </c>
      <c r="H581" s="6">
        <v>86086214</v>
      </c>
      <c r="I581" s="6">
        <v>0</v>
      </c>
      <c r="J581" s="6">
        <v>86086214</v>
      </c>
      <c r="K581" s="7">
        <v>0.45200000000000001</v>
      </c>
      <c r="L581" s="6">
        <f t="shared" si="9"/>
        <v>2.0034926399186039</v>
      </c>
    </row>
    <row r="582" spans="1:12" x14ac:dyDescent="0.25">
      <c r="A582" s="2" t="s">
        <v>101</v>
      </c>
      <c r="B582" s="2" t="s">
        <v>102</v>
      </c>
      <c r="C582" s="2" t="s">
        <v>419</v>
      </c>
      <c r="D582" s="3">
        <v>47163</v>
      </c>
      <c r="E582" s="3">
        <v>293</v>
      </c>
      <c r="F582" s="3">
        <v>768</v>
      </c>
      <c r="G582" s="3">
        <v>48224</v>
      </c>
      <c r="H582" s="3">
        <v>96272020</v>
      </c>
      <c r="I582" s="3">
        <v>0</v>
      </c>
      <c r="J582" s="3">
        <v>96272020</v>
      </c>
      <c r="K582" s="4">
        <v>0.45319999999999999</v>
      </c>
      <c r="L582" s="3">
        <f t="shared" si="9"/>
        <v>1996.3507796947579</v>
      </c>
    </row>
    <row r="583" spans="1:12" x14ac:dyDescent="0.25">
      <c r="A583" s="5" t="s">
        <v>101</v>
      </c>
      <c r="B583" s="5" t="s">
        <v>102</v>
      </c>
      <c r="C583" s="5" t="s">
        <v>176</v>
      </c>
      <c r="D583" s="6">
        <v>47650</v>
      </c>
      <c r="E583" s="6">
        <v>308</v>
      </c>
      <c r="F583" s="6">
        <v>812</v>
      </c>
      <c r="G583" s="6">
        <v>48770</v>
      </c>
      <c r="H583" s="6">
        <v>101918365</v>
      </c>
      <c r="I583" s="6">
        <v>0</v>
      </c>
      <c r="J583" s="6">
        <v>101918365</v>
      </c>
      <c r="K583" s="7">
        <v>0.43617327000000011</v>
      </c>
      <c r="L583" s="6">
        <f t="shared" si="9"/>
        <v>2089.775784293623</v>
      </c>
    </row>
    <row r="584" spans="1:12" x14ac:dyDescent="0.25">
      <c r="A584" s="2" t="s">
        <v>101</v>
      </c>
      <c r="B584" s="2" t="s">
        <v>102</v>
      </c>
      <c r="C584" s="2" t="s">
        <v>232</v>
      </c>
      <c r="D584" s="3">
        <v>70624</v>
      </c>
      <c r="E584" s="3">
        <v>333</v>
      </c>
      <c r="F584" s="3">
        <v>546</v>
      </c>
      <c r="G584" s="3">
        <v>71503</v>
      </c>
      <c r="H584" s="3">
        <v>194261422</v>
      </c>
      <c r="I584" s="3">
        <v>0</v>
      </c>
      <c r="J584" s="3">
        <v>194261422</v>
      </c>
      <c r="K584" s="4">
        <v>0.43819000000000002</v>
      </c>
      <c r="L584" s="3">
        <f t="shared" si="9"/>
        <v>2716.8289722109562</v>
      </c>
    </row>
    <row r="585" spans="1:12" x14ac:dyDescent="0.25">
      <c r="A585" s="5" t="s">
        <v>101</v>
      </c>
      <c r="B585" s="5" t="s">
        <v>102</v>
      </c>
      <c r="C585" s="5" t="s">
        <v>232</v>
      </c>
      <c r="D585" s="6">
        <v>70624</v>
      </c>
      <c r="E585" s="6">
        <v>333</v>
      </c>
      <c r="F585" s="6">
        <v>546</v>
      </c>
      <c r="G585" s="6">
        <v>71503</v>
      </c>
      <c r="H585" s="6">
        <v>194261422</v>
      </c>
      <c r="I585" s="6">
        <v>0</v>
      </c>
      <c r="J585" s="6">
        <v>194261422</v>
      </c>
      <c r="K585" s="7">
        <v>0.43819000000000002</v>
      </c>
      <c r="L585" s="6">
        <f t="shared" si="9"/>
        <v>2716.8289722109562</v>
      </c>
    </row>
    <row r="586" spans="1:12" x14ac:dyDescent="0.25">
      <c r="A586" s="2" t="s">
        <v>101</v>
      </c>
      <c r="B586" s="2" t="s">
        <v>102</v>
      </c>
      <c r="C586" s="2" t="s">
        <v>355</v>
      </c>
      <c r="D586" s="3">
        <v>65115</v>
      </c>
      <c r="E586" s="3">
        <v>724</v>
      </c>
      <c r="F586" s="3">
        <v>219</v>
      </c>
      <c r="G586" s="3">
        <v>66058</v>
      </c>
      <c r="H586" s="3">
        <v>220403658</v>
      </c>
      <c r="I586" s="3">
        <v>0</v>
      </c>
      <c r="J586" s="3">
        <v>220403658</v>
      </c>
      <c r="K586" s="4">
        <v>0.44191999999999998</v>
      </c>
      <c r="L586" s="3">
        <f t="shared" si="9"/>
        <v>3336.5172726997489</v>
      </c>
    </row>
    <row r="587" spans="1:12" x14ac:dyDescent="0.25">
      <c r="A587" s="5" t="s">
        <v>101</v>
      </c>
      <c r="B587" s="5" t="s">
        <v>102</v>
      </c>
      <c r="C587" s="5" t="s">
        <v>103</v>
      </c>
      <c r="D587" s="6">
        <v>72045</v>
      </c>
      <c r="E587" s="6">
        <v>393</v>
      </c>
      <c r="F587" s="6">
        <v>684</v>
      </c>
      <c r="G587" s="6">
        <v>73122</v>
      </c>
      <c r="H587" s="6">
        <v>219994273</v>
      </c>
      <c r="I587" s="6">
        <v>0</v>
      </c>
      <c r="J587" s="6">
        <v>219994273</v>
      </c>
      <c r="K587" s="7">
        <v>0.44108999999999998</v>
      </c>
      <c r="L587" s="6">
        <f t="shared" si="9"/>
        <v>3008.592120018599</v>
      </c>
    </row>
    <row r="588" spans="1:12" x14ac:dyDescent="0.25">
      <c r="A588" s="2" t="s">
        <v>138</v>
      </c>
      <c r="B588" s="2" t="s">
        <v>139</v>
      </c>
      <c r="C588" s="2" t="s">
        <v>420</v>
      </c>
      <c r="D588" s="3">
        <v>2781</v>
      </c>
      <c r="E588" s="3">
        <v>27</v>
      </c>
      <c r="F588" s="3">
        <v>540</v>
      </c>
      <c r="G588" s="3">
        <v>3348</v>
      </c>
      <c r="H588" s="3">
        <v>145571463</v>
      </c>
      <c r="I588" s="3">
        <v>0</v>
      </c>
      <c r="J588" s="3">
        <v>145571463</v>
      </c>
      <c r="K588" s="4">
        <v>0.39989999999999998</v>
      </c>
      <c r="L588" s="3">
        <f t="shared" si="9"/>
        <v>43480.12634408602</v>
      </c>
    </row>
    <row r="589" spans="1:12" x14ac:dyDescent="0.25">
      <c r="A589" s="5" t="s">
        <v>138</v>
      </c>
      <c r="B589" s="5" t="s">
        <v>139</v>
      </c>
      <c r="C589" s="5" t="s">
        <v>421</v>
      </c>
      <c r="D589" s="6">
        <v>2360</v>
      </c>
      <c r="E589" s="6">
        <v>37</v>
      </c>
      <c r="F589" s="6">
        <v>526</v>
      </c>
      <c r="G589" s="6">
        <v>2923</v>
      </c>
      <c r="H589" s="6">
        <v>147017773</v>
      </c>
      <c r="I589" s="6">
        <v>0</v>
      </c>
      <c r="J589" s="6">
        <v>147017773</v>
      </c>
      <c r="K589" s="7">
        <v>0.41529115</v>
      </c>
      <c r="L589" s="6">
        <f t="shared" si="9"/>
        <v>50296.877523092713</v>
      </c>
    </row>
    <row r="590" spans="1:12" x14ac:dyDescent="0.25">
      <c r="A590" s="2" t="s">
        <v>138</v>
      </c>
      <c r="B590" s="2" t="s">
        <v>139</v>
      </c>
      <c r="C590" s="2" t="s">
        <v>421</v>
      </c>
      <c r="D590" s="3">
        <v>2360</v>
      </c>
      <c r="E590" s="3">
        <v>37</v>
      </c>
      <c r="F590" s="3">
        <v>526</v>
      </c>
      <c r="G590" s="3">
        <v>2923</v>
      </c>
      <c r="H590" s="3">
        <v>147017773</v>
      </c>
      <c r="I590" s="3">
        <v>0</v>
      </c>
      <c r="J590" s="3">
        <v>147017773</v>
      </c>
      <c r="K590" s="4">
        <v>0.41529115</v>
      </c>
      <c r="L590" s="3">
        <f t="shared" si="9"/>
        <v>50296.877523092713</v>
      </c>
    </row>
    <row r="591" spans="1:12" x14ac:dyDescent="0.25">
      <c r="A591" s="5" t="s">
        <v>138</v>
      </c>
      <c r="B591" s="5" t="s">
        <v>139</v>
      </c>
      <c r="C591" s="5" t="s">
        <v>317</v>
      </c>
      <c r="D591" s="6">
        <v>12495</v>
      </c>
      <c r="E591" s="6">
        <v>197</v>
      </c>
      <c r="F591" s="6">
        <v>367</v>
      </c>
      <c r="G591" s="6">
        <v>13059</v>
      </c>
      <c r="H591" s="6">
        <v>143032073</v>
      </c>
      <c r="I591" s="6">
        <v>0</v>
      </c>
      <c r="J591" s="6">
        <v>143032073</v>
      </c>
      <c r="K591" s="7">
        <v>0.404032</v>
      </c>
      <c r="L591" s="6">
        <f t="shared" si="9"/>
        <v>10952.758480741251</v>
      </c>
    </row>
    <row r="592" spans="1:12" x14ac:dyDescent="0.25">
      <c r="A592" s="2" t="s">
        <v>138</v>
      </c>
      <c r="B592" s="2" t="s">
        <v>139</v>
      </c>
      <c r="C592" s="2" t="s">
        <v>329</v>
      </c>
      <c r="D592" s="3">
        <v>12134</v>
      </c>
      <c r="E592" s="3">
        <v>124</v>
      </c>
      <c r="F592" s="3">
        <v>536</v>
      </c>
      <c r="G592" s="3">
        <v>12794</v>
      </c>
      <c r="H592" s="3">
        <v>142845106</v>
      </c>
      <c r="I592" s="3">
        <v>0</v>
      </c>
      <c r="J592" s="3">
        <v>142845106</v>
      </c>
      <c r="K592" s="4">
        <v>0.40350434000000002</v>
      </c>
      <c r="L592" s="3">
        <f t="shared" si="9"/>
        <v>11165.007503517274</v>
      </c>
    </row>
    <row r="593" spans="1:12" x14ac:dyDescent="0.25">
      <c r="A593" s="5" t="s">
        <v>138</v>
      </c>
      <c r="B593" s="5" t="s">
        <v>139</v>
      </c>
      <c r="C593" s="5" t="s">
        <v>342</v>
      </c>
      <c r="D593" s="6">
        <v>13040</v>
      </c>
      <c r="E593" s="6">
        <v>129</v>
      </c>
      <c r="F593" s="6">
        <v>638</v>
      </c>
      <c r="G593" s="6">
        <v>13807</v>
      </c>
      <c r="H593" s="6">
        <v>143294210</v>
      </c>
      <c r="I593" s="6">
        <v>0</v>
      </c>
      <c r="J593" s="6">
        <v>143294210</v>
      </c>
      <c r="K593" s="7">
        <v>0.40477295000000002</v>
      </c>
      <c r="L593" s="6">
        <f t="shared" si="9"/>
        <v>10378.374013181719</v>
      </c>
    </row>
    <row r="594" spans="1:12" x14ac:dyDescent="0.25">
      <c r="A594" s="2" t="s">
        <v>138</v>
      </c>
      <c r="B594" s="2" t="s">
        <v>139</v>
      </c>
      <c r="C594" s="2" t="s">
        <v>422</v>
      </c>
      <c r="D594" s="3">
        <v>19005</v>
      </c>
      <c r="E594" s="3">
        <v>152</v>
      </c>
      <c r="F594" s="3">
        <v>687</v>
      </c>
      <c r="G594" s="3">
        <v>19844</v>
      </c>
      <c r="H594" s="3">
        <v>142348116</v>
      </c>
      <c r="I594" s="3">
        <v>0</v>
      </c>
      <c r="J594" s="3">
        <v>142348116</v>
      </c>
      <c r="K594" s="4">
        <v>0.41097</v>
      </c>
      <c r="L594" s="3">
        <f t="shared" si="9"/>
        <v>7173.357992340254</v>
      </c>
    </row>
    <row r="595" spans="1:12" x14ac:dyDescent="0.25">
      <c r="A595" s="5" t="s">
        <v>138</v>
      </c>
      <c r="B595" s="5" t="s">
        <v>139</v>
      </c>
      <c r="C595" s="5" t="s">
        <v>423</v>
      </c>
      <c r="D595" s="6">
        <v>20990</v>
      </c>
      <c r="E595" s="6">
        <v>265</v>
      </c>
      <c r="F595" s="6">
        <v>525</v>
      </c>
      <c r="G595" s="6">
        <v>21780</v>
      </c>
      <c r="H595" s="6">
        <v>128130966</v>
      </c>
      <c r="I595" s="6">
        <v>0</v>
      </c>
      <c r="J595" s="6">
        <v>128130966</v>
      </c>
      <c r="K595" s="7">
        <v>0.38542999999999999</v>
      </c>
      <c r="L595" s="6">
        <f t="shared" si="9"/>
        <v>5882.9644628099177</v>
      </c>
    </row>
    <row r="596" spans="1:12" x14ac:dyDescent="0.25">
      <c r="A596" s="2" t="s">
        <v>138</v>
      </c>
      <c r="B596" s="2" t="s">
        <v>139</v>
      </c>
      <c r="C596" s="2" t="s">
        <v>140</v>
      </c>
      <c r="D596" s="3">
        <v>29322</v>
      </c>
      <c r="E596" s="3">
        <v>236</v>
      </c>
      <c r="F596" s="3">
        <v>541</v>
      </c>
      <c r="G596" s="3">
        <v>30099</v>
      </c>
      <c r="H596" s="3">
        <v>123583436</v>
      </c>
      <c r="I596" s="3">
        <v>0</v>
      </c>
      <c r="J596" s="3">
        <v>123583436</v>
      </c>
      <c r="K596" s="4">
        <v>0.37175000000000002</v>
      </c>
      <c r="L596" s="3">
        <f t="shared" si="9"/>
        <v>4105.8984019402642</v>
      </c>
    </row>
    <row r="597" spans="1:12" x14ac:dyDescent="0.25">
      <c r="A597" s="5" t="s">
        <v>92</v>
      </c>
      <c r="B597" s="5" t="s">
        <v>93</v>
      </c>
      <c r="C597" s="5" t="s">
        <v>424</v>
      </c>
      <c r="D597" s="6">
        <v>12020</v>
      </c>
      <c r="E597" s="6">
        <v>125</v>
      </c>
      <c r="F597" s="6">
        <v>1482</v>
      </c>
      <c r="G597" s="6">
        <v>13627</v>
      </c>
      <c r="H597" s="6">
        <v>751848759</v>
      </c>
      <c r="I597" s="6">
        <v>0</v>
      </c>
      <c r="J597" s="6">
        <v>751848759</v>
      </c>
      <c r="K597" s="7">
        <v>0.54196940999999998</v>
      </c>
      <c r="L597" s="6">
        <f t="shared" si="9"/>
        <v>55173.461436853308</v>
      </c>
    </row>
    <row r="598" spans="1:12" x14ac:dyDescent="0.25">
      <c r="A598" s="2" t="s">
        <v>92</v>
      </c>
      <c r="B598" s="2" t="s">
        <v>93</v>
      </c>
      <c r="C598" s="2" t="s">
        <v>347</v>
      </c>
      <c r="D598" s="3">
        <v>34588</v>
      </c>
      <c r="E598" s="3">
        <v>415</v>
      </c>
      <c r="F598" s="3">
        <v>1678</v>
      </c>
      <c r="G598" s="3">
        <v>36681</v>
      </c>
      <c r="H598" s="3">
        <v>725859318</v>
      </c>
      <c r="I598" s="3">
        <v>0</v>
      </c>
      <c r="J598" s="3">
        <v>725859318</v>
      </c>
      <c r="K598" s="4">
        <v>0.53322466000000002</v>
      </c>
      <c r="L598" s="3">
        <f t="shared" si="9"/>
        <v>19788.427741882719</v>
      </c>
    </row>
    <row r="599" spans="1:12" x14ac:dyDescent="0.25">
      <c r="A599" s="5" t="s">
        <v>92</v>
      </c>
      <c r="B599" s="5" t="s">
        <v>93</v>
      </c>
      <c r="C599" s="5" t="s">
        <v>425</v>
      </c>
      <c r="D599" s="6">
        <v>66270</v>
      </c>
      <c r="E599" s="6">
        <v>618</v>
      </c>
      <c r="F599" s="6">
        <v>1538</v>
      </c>
      <c r="G599" s="6">
        <v>68426</v>
      </c>
      <c r="H599" s="6">
        <v>724921241</v>
      </c>
      <c r="I599" s="6">
        <v>0</v>
      </c>
      <c r="J599" s="6">
        <v>724921241</v>
      </c>
      <c r="K599" s="7">
        <v>0.53249999999999997</v>
      </c>
      <c r="L599" s="6">
        <f t="shared" si="9"/>
        <v>10594.236708268787</v>
      </c>
    </row>
    <row r="600" spans="1:12" x14ac:dyDescent="0.25">
      <c r="A600" s="2" t="s">
        <v>92</v>
      </c>
      <c r="B600" s="2" t="s">
        <v>93</v>
      </c>
      <c r="C600" s="2" t="s">
        <v>277</v>
      </c>
      <c r="D600" s="3">
        <v>61186</v>
      </c>
      <c r="E600" s="3">
        <v>656</v>
      </c>
      <c r="F600" s="3">
        <v>2037</v>
      </c>
      <c r="G600" s="3">
        <v>63879</v>
      </c>
      <c r="H600" s="3">
        <v>726779281</v>
      </c>
      <c r="I600" s="3">
        <v>0</v>
      </c>
      <c r="J600" s="3">
        <v>726779281</v>
      </c>
      <c r="K600" s="4">
        <v>0.53390048000000001</v>
      </c>
      <c r="L600" s="3">
        <f t="shared" si="9"/>
        <v>11377.436731946336</v>
      </c>
    </row>
    <row r="601" spans="1:12" x14ac:dyDescent="0.25">
      <c r="A601" s="5" t="s">
        <v>92</v>
      </c>
      <c r="B601" s="5" t="s">
        <v>93</v>
      </c>
      <c r="C601" s="5" t="s">
        <v>218</v>
      </c>
      <c r="D601" s="6">
        <v>76014</v>
      </c>
      <c r="E601" s="6">
        <v>908</v>
      </c>
      <c r="F601" s="6">
        <v>2225</v>
      </c>
      <c r="G601" s="6">
        <v>79147</v>
      </c>
      <c r="H601" s="6">
        <v>726823001</v>
      </c>
      <c r="I601" s="6">
        <v>0</v>
      </c>
      <c r="J601" s="6">
        <v>726823001</v>
      </c>
      <c r="K601" s="7">
        <v>0.53390000000000004</v>
      </c>
      <c r="L601" s="6">
        <f t="shared" si="9"/>
        <v>9183.203418954603</v>
      </c>
    </row>
    <row r="602" spans="1:12" x14ac:dyDescent="0.25">
      <c r="A602" s="2" t="s">
        <v>92</v>
      </c>
      <c r="B602" s="2" t="s">
        <v>93</v>
      </c>
      <c r="C602" s="2" t="s">
        <v>426</v>
      </c>
      <c r="D602" s="3">
        <v>75161</v>
      </c>
      <c r="E602" s="3">
        <v>736</v>
      </c>
      <c r="F602" s="3">
        <v>1631</v>
      </c>
      <c r="G602" s="3">
        <v>77528</v>
      </c>
      <c r="H602" s="3">
        <v>664114223</v>
      </c>
      <c r="I602" s="3">
        <v>0</v>
      </c>
      <c r="J602" s="3">
        <v>664114223</v>
      </c>
      <c r="K602" s="4">
        <v>0.50924000000000003</v>
      </c>
      <c r="L602" s="3">
        <f t="shared" si="9"/>
        <v>8566.1209240532444</v>
      </c>
    </row>
    <row r="603" spans="1:12" x14ac:dyDescent="0.25">
      <c r="A603" s="5" t="s">
        <v>92</v>
      </c>
      <c r="B603" s="5" t="s">
        <v>93</v>
      </c>
      <c r="C603" s="5" t="s">
        <v>427</v>
      </c>
      <c r="D603" s="6">
        <v>85528</v>
      </c>
      <c r="E603" s="6">
        <v>1040</v>
      </c>
      <c r="F603" s="6">
        <v>1714</v>
      </c>
      <c r="G603" s="6">
        <v>88282</v>
      </c>
      <c r="H603" s="6">
        <v>630821784</v>
      </c>
      <c r="I603" s="6">
        <v>0</v>
      </c>
      <c r="J603" s="6">
        <v>630821784</v>
      </c>
      <c r="K603" s="7">
        <v>0.49902000000000002</v>
      </c>
      <c r="L603" s="6">
        <f t="shared" si="9"/>
        <v>7145.5311841598514</v>
      </c>
    </row>
    <row r="604" spans="1:12" x14ac:dyDescent="0.25">
      <c r="A604" s="2" t="s">
        <v>92</v>
      </c>
      <c r="B604" s="2" t="s">
        <v>93</v>
      </c>
      <c r="C604" s="2" t="s">
        <v>74</v>
      </c>
      <c r="D604" s="3">
        <v>70289</v>
      </c>
      <c r="E604" s="3">
        <v>637</v>
      </c>
      <c r="F604" s="3">
        <v>1498</v>
      </c>
      <c r="G604" s="3">
        <v>72424</v>
      </c>
      <c r="H604" s="3">
        <v>612698471</v>
      </c>
      <c r="I604" s="3">
        <v>0</v>
      </c>
      <c r="J604" s="3">
        <v>612698471</v>
      </c>
      <c r="K604" s="4">
        <v>0.48468000000000011</v>
      </c>
      <c r="L604" s="3">
        <f t="shared" si="9"/>
        <v>8459.8816828675572</v>
      </c>
    </row>
    <row r="605" spans="1:12" x14ac:dyDescent="0.25">
      <c r="A605" s="5" t="s">
        <v>92</v>
      </c>
      <c r="B605" s="5" t="s">
        <v>93</v>
      </c>
      <c r="C605" s="5" t="s">
        <v>94</v>
      </c>
      <c r="D605" s="6">
        <v>86623</v>
      </c>
      <c r="E605" s="6">
        <v>798</v>
      </c>
      <c r="F605" s="6">
        <v>1488</v>
      </c>
      <c r="G605" s="6">
        <v>88909</v>
      </c>
      <c r="H605" s="6">
        <v>608216821</v>
      </c>
      <c r="I605" s="6">
        <v>0</v>
      </c>
      <c r="J605" s="6">
        <v>608216821</v>
      </c>
      <c r="K605" s="7">
        <v>0.48114000000000001</v>
      </c>
      <c r="L605" s="6">
        <f t="shared" si="9"/>
        <v>6840.8914845516201</v>
      </c>
    </row>
    <row r="606" spans="1:12" x14ac:dyDescent="0.25">
      <c r="A606" s="2" t="s">
        <v>84</v>
      </c>
      <c r="B606" s="2" t="s">
        <v>85</v>
      </c>
      <c r="C606" s="2" t="s">
        <v>428</v>
      </c>
      <c r="D606" s="3">
        <v>0</v>
      </c>
      <c r="E606" s="3">
        <v>1</v>
      </c>
      <c r="F606" s="3">
        <v>0</v>
      </c>
      <c r="G606" s="3">
        <v>1</v>
      </c>
      <c r="H606" s="3">
        <v>0</v>
      </c>
      <c r="I606" s="3">
        <v>0</v>
      </c>
      <c r="J606" s="3">
        <v>0</v>
      </c>
      <c r="K606" s="4">
        <v>0</v>
      </c>
      <c r="L606" s="3">
        <f t="shared" si="9"/>
        <v>0</v>
      </c>
    </row>
    <row r="607" spans="1:12" x14ac:dyDescent="0.25">
      <c r="A607" s="5" t="s">
        <v>84</v>
      </c>
      <c r="B607" s="5" t="s">
        <v>85</v>
      </c>
      <c r="C607" s="5" t="s">
        <v>429</v>
      </c>
      <c r="D607" s="6">
        <v>1270233</v>
      </c>
      <c r="E607" s="6">
        <v>229942</v>
      </c>
      <c r="F607" s="6">
        <v>849</v>
      </c>
      <c r="G607" s="6">
        <v>1501024</v>
      </c>
      <c r="H607" s="6">
        <v>808485985</v>
      </c>
      <c r="I607" s="6">
        <v>0</v>
      </c>
      <c r="J607" s="6">
        <v>808485985</v>
      </c>
      <c r="K607" s="7">
        <v>0.33397410999999999</v>
      </c>
      <c r="L607" s="6">
        <f t="shared" si="9"/>
        <v>538.62295672820687</v>
      </c>
    </row>
    <row r="608" spans="1:12" x14ac:dyDescent="0.25">
      <c r="A608" s="2" t="s">
        <v>84</v>
      </c>
      <c r="B608" s="2" t="s">
        <v>85</v>
      </c>
      <c r="C608" s="2" t="s">
        <v>430</v>
      </c>
      <c r="D608" s="3">
        <v>1259476</v>
      </c>
      <c r="E608" s="3">
        <v>229157</v>
      </c>
      <c r="F608" s="3">
        <v>83</v>
      </c>
      <c r="G608" s="3">
        <v>1488716</v>
      </c>
      <c r="H608" s="3">
        <v>808619532</v>
      </c>
      <c r="I608" s="3">
        <v>0</v>
      </c>
      <c r="J608" s="3">
        <v>808619532</v>
      </c>
      <c r="K608" s="4">
        <v>0.33402926999999999</v>
      </c>
      <c r="L608" s="3">
        <f t="shared" si="9"/>
        <v>543.16574282804777</v>
      </c>
    </row>
    <row r="609" spans="1:12" x14ac:dyDescent="0.25">
      <c r="A609" s="5" t="s">
        <v>84</v>
      </c>
      <c r="B609" s="5" t="s">
        <v>85</v>
      </c>
      <c r="C609" s="5" t="s">
        <v>431</v>
      </c>
      <c r="D609" s="6">
        <v>1259476</v>
      </c>
      <c r="E609" s="6">
        <v>229157</v>
      </c>
      <c r="F609" s="6">
        <v>83</v>
      </c>
      <c r="G609" s="6">
        <v>1488716</v>
      </c>
      <c r="H609" s="6">
        <v>808436195</v>
      </c>
      <c r="I609" s="6">
        <v>0</v>
      </c>
      <c r="J609" s="6">
        <v>808436195</v>
      </c>
      <c r="K609" s="7">
        <v>0.33389999999999997</v>
      </c>
      <c r="L609" s="6">
        <f t="shared" si="9"/>
        <v>543.04259173677178</v>
      </c>
    </row>
    <row r="610" spans="1:12" x14ac:dyDescent="0.25">
      <c r="A610" s="2" t="s">
        <v>84</v>
      </c>
      <c r="B610" s="2" t="s">
        <v>85</v>
      </c>
      <c r="C610" s="2" t="s">
        <v>432</v>
      </c>
      <c r="D610" s="3">
        <v>1267478</v>
      </c>
      <c r="E610" s="3">
        <v>224697</v>
      </c>
      <c r="F610" s="3">
        <v>88</v>
      </c>
      <c r="G610" s="3">
        <v>1492263</v>
      </c>
      <c r="H610" s="3">
        <v>807896814</v>
      </c>
      <c r="I610" s="3">
        <v>0</v>
      </c>
      <c r="J610" s="3">
        <v>807896814</v>
      </c>
      <c r="K610" s="4">
        <v>0.33378000000000002</v>
      </c>
      <c r="L610" s="3">
        <f t="shared" si="9"/>
        <v>541.39036751564572</v>
      </c>
    </row>
    <row r="611" spans="1:12" x14ac:dyDescent="0.25">
      <c r="A611" s="5" t="s">
        <v>84</v>
      </c>
      <c r="B611" s="5" t="s">
        <v>85</v>
      </c>
      <c r="C611" s="5" t="s">
        <v>413</v>
      </c>
      <c r="D611" s="6">
        <v>1283458</v>
      </c>
      <c r="E611" s="6">
        <v>221364</v>
      </c>
      <c r="F611" s="6">
        <v>90</v>
      </c>
      <c r="G611" s="6">
        <v>1504912</v>
      </c>
      <c r="H611" s="6">
        <v>806346646</v>
      </c>
      <c r="I611" s="6">
        <v>0</v>
      </c>
      <c r="J611" s="6">
        <v>806346646</v>
      </c>
      <c r="K611" s="7">
        <v>0.33309</v>
      </c>
      <c r="L611" s="6">
        <f t="shared" si="9"/>
        <v>535.80983206991505</v>
      </c>
    </row>
    <row r="612" spans="1:12" x14ac:dyDescent="0.25">
      <c r="A612" s="2" t="s">
        <v>84</v>
      </c>
      <c r="B612" s="2" t="s">
        <v>85</v>
      </c>
      <c r="C612" s="2" t="s">
        <v>413</v>
      </c>
      <c r="D612" s="3">
        <v>1283458</v>
      </c>
      <c r="E612" s="3">
        <v>221364</v>
      </c>
      <c r="F612" s="3">
        <v>90</v>
      </c>
      <c r="G612" s="3">
        <v>1504912</v>
      </c>
      <c r="H612" s="3">
        <v>777451080</v>
      </c>
      <c r="I612" s="3">
        <v>0</v>
      </c>
      <c r="J612" s="3">
        <v>777451080</v>
      </c>
      <c r="K612" s="4">
        <v>0.32500000000000001</v>
      </c>
      <c r="L612" s="3">
        <f t="shared" si="9"/>
        <v>516.60899773541576</v>
      </c>
    </row>
    <row r="613" spans="1:12" x14ac:dyDescent="0.25">
      <c r="A613" s="5" t="s">
        <v>84</v>
      </c>
      <c r="B613" s="5" t="s">
        <v>85</v>
      </c>
      <c r="C613" s="5" t="s">
        <v>64</v>
      </c>
      <c r="D613" s="6">
        <v>87162</v>
      </c>
      <c r="E613" s="6">
        <v>11545</v>
      </c>
      <c r="F613" s="6">
        <v>436</v>
      </c>
      <c r="G613" s="6">
        <v>99143</v>
      </c>
      <c r="H613" s="6">
        <v>776308601</v>
      </c>
      <c r="I613" s="6">
        <v>0</v>
      </c>
      <c r="J613" s="6">
        <v>776308601</v>
      </c>
      <c r="K613" s="7">
        <v>0.32633000000000001</v>
      </c>
      <c r="L613" s="6">
        <f t="shared" si="9"/>
        <v>7830.1907446819241</v>
      </c>
    </row>
    <row r="614" spans="1:12" x14ac:dyDescent="0.25">
      <c r="A614" s="2" t="s">
        <v>123</v>
      </c>
      <c r="B614" s="2" t="s">
        <v>124</v>
      </c>
      <c r="C614" s="2" t="s">
        <v>347</v>
      </c>
      <c r="D614" s="3">
        <v>5067</v>
      </c>
      <c r="E614" s="3">
        <v>178</v>
      </c>
      <c r="F614" s="3">
        <v>546</v>
      </c>
      <c r="G614" s="3">
        <v>5791</v>
      </c>
      <c r="H614" s="3">
        <v>134486377</v>
      </c>
      <c r="I614" s="3">
        <v>0</v>
      </c>
      <c r="J614" s="3">
        <v>134486377</v>
      </c>
      <c r="K614" s="4">
        <v>0.81193082999999999</v>
      </c>
      <c r="L614" s="3">
        <f t="shared" si="9"/>
        <v>23223.342600587119</v>
      </c>
    </row>
    <row r="615" spans="1:12" x14ac:dyDescent="0.25">
      <c r="A615" s="5" t="s">
        <v>123</v>
      </c>
      <c r="B615" s="5" t="s">
        <v>124</v>
      </c>
      <c r="C615" s="5" t="s">
        <v>433</v>
      </c>
      <c r="D615" s="6">
        <v>5265</v>
      </c>
      <c r="E615" s="6">
        <v>179</v>
      </c>
      <c r="F615" s="6">
        <v>551</v>
      </c>
      <c r="G615" s="6">
        <v>5995</v>
      </c>
      <c r="H615" s="6">
        <v>134465885</v>
      </c>
      <c r="I615" s="6">
        <v>0</v>
      </c>
      <c r="J615" s="6">
        <v>134465885</v>
      </c>
      <c r="K615" s="7">
        <v>0.81180711000000005</v>
      </c>
      <c r="L615" s="6">
        <f t="shared" si="9"/>
        <v>22429.672226855713</v>
      </c>
    </row>
    <row r="616" spans="1:12" x14ac:dyDescent="0.25">
      <c r="A616" s="2" t="s">
        <v>123</v>
      </c>
      <c r="B616" s="2" t="s">
        <v>124</v>
      </c>
      <c r="C616" s="2" t="s">
        <v>384</v>
      </c>
      <c r="D616" s="3">
        <v>65401</v>
      </c>
      <c r="E616" s="3">
        <v>480</v>
      </c>
      <c r="F616" s="3">
        <v>1191</v>
      </c>
      <c r="G616" s="3">
        <v>67072</v>
      </c>
      <c r="H616" s="3">
        <v>480960677</v>
      </c>
      <c r="I616" s="3">
        <v>0</v>
      </c>
      <c r="J616" s="3">
        <v>480960677</v>
      </c>
      <c r="K616" s="4">
        <v>0.83223690000000006</v>
      </c>
      <c r="L616" s="3">
        <f t="shared" si="9"/>
        <v>7170.8116203482823</v>
      </c>
    </row>
    <row r="617" spans="1:12" x14ac:dyDescent="0.25">
      <c r="A617" s="5" t="s">
        <v>123</v>
      </c>
      <c r="B617" s="5" t="s">
        <v>124</v>
      </c>
      <c r="C617" s="5" t="s">
        <v>384</v>
      </c>
      <c r="D617" s="6">
        <v>65401</v>
      </c>
      <c r="E617" s="6">
        <v>480</v>
      </c>
      <c r="F617" s="6">
        <v>1191</v>
      </c>
      <c r="G617" s="6">
        <v>67072</v>
      </c>
      <c r="H617" s="6">
        <v>519851955</v>
      </c>
      <c r="I617" s="6">
        <v>0</v>
      </c>
      <c r="J617" s="6">
        <v>519851955</v>
      </c>
      <c r="K617" s="7">
        <v>0.84230000000000005</v>
      </c>
      <c r="L617" s="6">
        <f t="shared" si="9"/>
        <v>7750.6553405295799</v>
      </c>
    </row>
    <row r="618" spans="1:12" x14ac:dyDescent="0.25">
      <c r="A618" s="2" t="s">
        <v>123</v>
      </c>
      <c r="B618" s="2" t="s">
        <v>124</v>
      </c>
      <c r="C618" s="2" t="s">
        <v>256</v>
      </c>
      <c r="D618" s="3">
        <v>46526</v>
      </c>
      <c r="E618" s="3">
        <v>331</v>
      </c>
      <c r="F618" s="3">
        <v>1405</v>
      </c>
      <c r="G618" s="3">
        <v>48262</v>
      </c>
      <c r="H618" s="3">
        <v>514122351</v>
      </c>
      <c r="I618" s="3">
        <v>0</v>
      </c>
      <c r="J618" s="3">
        <v>514122351</v>
      </c>
      <c r="K618" s="4">
        <v>0.83301419999999993</v>
      </c>
      <c r="L618" s="3">
        <f t="shared" si="9"/>
        <v>10652.736127802413</v>
      </c>
    </row>
    <row r="619" spans="1:12" x14ac:dyDescent="0.25">
      <c r="A619" s="5" t="s">
        <v>123</v>
      </c>
      <c r="B619" s="5" t="s">
        <v>124</v>
      </c>
      <c r="C619" s="5" t="s">
        <v>330</v>
      </c>
      <c r="D619" s="6">
        <v>39157</v>
      </c>
      <c r="E619" s="6">
        <v>316</v>
      </c>
      <c r="F619" s="6">
        <v>1115</v>
      </c>
      <c r="G619" s="6">
        <v>40588</v>
      </c>
      <c r="H619" s="6">
        <v>540206440</v>
      </c>
      <c r="I619" s="6">
        <v>0</v>
      </c>
      <c r="J619" s="6">
        <v>540206440</v>
      </c>
      <c r="K619" s="7">
        <v>0.87528000000000006</v>
      </c>
      <c r="L619" s="6">
        <f t="shared" si="9"/>
        <v>13309.51118557209</v>
      </c>
    </row>
    <row r="620" spans="1:12" x14ac:dyDescent="0.25">
      <c r="A620" s="2" t="s">
        <v>123</v>
      </c>
      <c r="B620" s="2" t="s">
        <v>124</v>
      </c>
      <c r="C620" s="2" t="s">
        <v>434</v>
      </c>
      <c r="D620" s="3">
        <v>37684</v>
      </c>
      <c r="E620" s="3">
        <v>351</v>
      </c>
      <c r="F620" s="3">
        <v>1150</v>
      </c>
      <c r="G620" s="3">
        <v>39185</v>
      </c>
      <c r="H620" s="3">
        <v>533214830</v>
      </c>
      <c r="I620" s="3">
        <v>0</v>
      </c>
      <c r="J620" s="3">
        <v>533214830</v>
      </c>
      <c r="K620" s="4">
        <v>0.88958000000000004</v>
      </c>
      <c r="L620" s="3">
        <f t="shared" si="9"/>
        <v>13607.62613244864</v>
      </c>
    </row>
    <row r="621" spans="1:12" x14ac:dyDescent="0.25">
      <c r="A621" s="5" t="s">
        <v>123</v>
      </c>
      <c r="B621" s="5" t="s">
        <v>124</v>
      </c>
      <c r="C621" s="5" t="s">
        <v>48</v>
      </c>
      <c r="D621" s="6">
        <v>44760</v>
      </c>
      <c r="E621" s="6">
        <v>206</v>
      </c>
      <c r="F621" s="6">
        <v>1180</v>
      </c>
      <c r="G621" s="6">
        <v>46146</v>
      </c>
      <c r="H621" s="6">
        <v>526170977</v>
      </c>
      <c r="I621" s="6">
        <v>0</v>
      </c>
      <c r="J621" s="6">
        <v>526170977</v>
      </c>
      <c r="K621" s="7">
        <v>0.87783</v>
      </c>
      <c r="L621" s="6">
        <f t="shared" si="9"/>
        <v>11402.309560958696</v>
      </c>
    </row>
    <row r="622" spans="1:12" x14ac:dyDescent="0.25">
      <c r="A622" s="2" t="s">
        <v>123</v>
      </c>
      <c r="B622" s="2" t="s">
        <v>124</v>
      </c>
      <c r="C622" s="2" t="s">
        <v>48</v>
      </c>
      <c r="D622" s="3">
        <v>44760</v>
      </c>
      <c r="E622" s="3">
        <v>206</v>
      </c>
      <c r="F622" s="3">
        <v>1180</v>
      </c>
      <c r="G622" s="3">
        <v>46146</v>
      </c>
      <c r="H622" s="3">
        <v>515889217</v>
      </c>
      <c r="I622" s="3">
        <v>0</v>
      </c>
      <c r="J622" s="3">
        <v>515889217</v>
      </c>
      <c r="K622" s="4">
        <v>0.89037999999999995</v>
      </c>
      <c r="L622" s="3">
        <f t="shared" si="9"/>
        <v>11179.500216703505</v>
      </c>
    </row>
    <row r="623" spans="1:12" x14ac:dyDescent="0.25">
      <c r="A623" s="5" t="s">
        <v>136</v>
      </c>
      <c r="B623" s="5" t="s">
        <v>137</v>
      </c>
      <c r="C623" s="5" t="s">
        <v>396</v>
      </c>
      <c r="D623" s="6">
        <v>24395</v>
      </c>
      <c r="E623" s="6">
        <v>303</v>
      </c>
      <c r="F623" s="6">
        <v>1320</v>
      </c>
      <c r="G623" s="6">
        <v>26018</v>
      </c>
      <c r="H623" s="6">
        <v>1085159631</v>
      </c>
      <c r="I623" s="6">
        <v>0</v>
      </c>
      <c r="J623" s="6">
        <v>1085159631</v>
      </c>
      <c r="K623" s="7">
        <v>0.97515248999999993</v>
      </c>
      <c r="L623" s="6">
        <f t="shared" si="9"/>
        <v>41708.034091782611</v>
      </c>
    </row>
    <row r="624" spans="1:12" x14ac:dyDescent="0.25">
      <c r="A624" s="2" t="s">
        <v>136</v>
      </c>
      <c r="B624" s="2" t="s">
        <v>137</v>
      </c>
      <c r="C624" s="2" t="s">
        <v>372</v>
      </c>
      <c r="D624" s="3">
        <v>33917</v>
      </c>
      <c r="E624" s="3">
        <v>994</v>
      </c>
      <c r="F624" s="3">
        <v>1439</v>
      </c>
      <c r="G624" s="3">
        <v>36350</v>
      </c>
      <c r="H624" s="3">
        <v>1086422872</v>
      </c>
      <c r="I624" s="3">
        <v>0</v>
      </c>
      <c r="J624" s="3">
        <v>1086422872</v>
      </c>
      <c r="K624" s="4">
        <v>0.97444131</v>
      </c>
      <c r="L624" s="3">
        <f t="shared" si="9"/>
        <v>29887.836918844565</v>
      </c>
    </row>
    <row r="625" spans="1:12" x14ac:dyDescent="0.25">
      <c r="A625" s="5" t="s">
        <v>136</v>
      </c>
      <c r="B625" s="5" t="s">
        <v>137</v>
      </c>
      <c r="C625" s="5" t="s">
        <v>435</v>
      </c>
      <c r="D625" s="6">
        <v>33534</v>
      </c>
      <c r="E625" s="6">
        <v>805</v>
      </c>
      <c r="F625" s="6">
        <v>1483</v>
      </c>
      <c r="G625" s="6">
        <v>35822</v>
      </c>
      <c r="H625" s="6">
        <v>1085987426</v>
      </c>
      <c r="I625" s="6">
        <v>0</v>
      </c>
      <c r="J625" s="6">
        <v>1085987426</v>
      </c>
      <c r="K625" s="7">
        <v>0.97391279999999991</v>
      </c>
      <c r="L625" s="6">
        <f t="shared" si="9"/>
        <v>30316.214225894702</v>
      </c>
    </row>
    <row r="626" spans="1:12" x14ac:dyDescent="0.25">
      <c r="A626" s="2" t="s">
        <v>136</v>
      </c>
      <c r="B626" s="2" t="s">
        <v>137</v>
      </c>
      <c r="C626" s="2" t="s">
        <v>435</v>
      </c>
      <c r="D626" s="3">
        <v>33534</v>
      </c>
      <c r="E626" s="3">
        <v>805</v>
      </c>
      <c r="F626" s="3">
        <v>1483</v>
      </c>
      <c r="G626" s="3">
        <v>35822</v>
      </c>
      <c r="H626" s="3">
        <v>1086067887</v>
      </c>
      <c r="I626" s="3">
        <v>0</v>
      </c>
      <c r="J626" s="3">
        <v>1086067887</v>
      </c>
      <c r="K626" s="4">
        <v>0.97391949</v>
      </c>
      <c r="L626" s="3">
        <f t="shared" si="9"/>
        <v>30318.460359555582</v>
      </c>
    </row>
    <row r="627" spans="1:12" x14ac:dyDescent="0.25">
      <c r="A627" s="5" t="s">
        <v>136</v>
      </c>
      <c r="B627" s="5" t="s">
        <v>137</v>
      </c>
      <c r="C627" s="5" t="s">
        <v>256</v>
      </c>
      <c r="D627" s="6">
        <v>34995</v>
      </c>
      <c r="E627" s="6">
        <v>829</v>
      </c>
      <c r="F627" s="6">
        <v>1522</v>
      </c>
      <c r="G627" s="6">
        <v>37346</v>
      </c>
      <c r="H627" s="6">
        <v>1086261994</v>
      </c>
      <c r="I627" s="6">
        <v>0</v>
      </c>
      <c r="J627" s="6">
        <v>1086261994</v>
      </c>
      <c r="K627" s="7">
        <v>0.97404753999999993</v>
      </c>
      <c r="L627" s="6">
        <f t="shared" si="9"/>
        <v>29086.434798907514</v>
      </c>
    </row>
    <row r="628" spans="1:12" x14ac:dyDescent="0.25">
      <c r="A628" s="2" t="s">
        <v>136</v>
      </c>
      <c r="B628" s="2" t="s">
        <v>137</v>
      </c>
      <c r="C628" s="2" t="s">
        <v>256</v>
      </c>
      <c r="D628" s="3">
        <v>34995</v>
      </c>
      <c r="E628" s="3">
        <v>829</v>
      </c>
      <c r="F628" s="3">
        <v>1522</v>
      </c>
      <c r="G628" s="3">
        <v>37346</v>
      </c>
      <c r="H628" s="3">
        <v>1087228062</v>
      </c>
      <c r="I628" s="3">
        <v>0</v>
      </c>
      <c r="J628" s="3">
        <v>1087228062</v>
      </c>
      <c r="K628" s="4">
        <v>0.97474000000000005</v>
      </c>
      <c r="L628" s="3">
        <f t="shared" si="9"/>
        <v>29112.302843678037</v>
      </c>
    </row>
    <row r="629" spans="1:12" x14ac:dyDescent="0.25">
      <c r="A629" s="5" t="s">
        <v>136</v>
      </c>
      <c r="B629" s="5" t="s">
        <v>137</v>
      </c>
      <c r="C629" s="5" t="s">
        <v>178</v>
      </c>
      <c r="D629" s="6">
        <v>29338</v>
      </c>
      <c r="E629" s="6">
        <v>684</v>
      </c>
      <c r="F629" s="6">
        <v>1467</v>
      </c>
      <c r="G629" s="6">
        <v>31489</v>
      </c>
      <c r="H629" s="6">
        <v>1089082981</v>
      </c>
      <c r="I629" s="6">
        <v>0</v>
      </c>
      <c r="J629" s="6">
        <v>1089082981</v>
      </c>
      <c r="K629" s="7">
        <v>0.97631000000000001</v>
      </c>
      <c r="L629" s="6">
        <f t="shared" si="9"/>
        <v>34586.140588777031</v>
      </c>
    </row>
    <row r="630" spans="1:12" x14ac:dyDescent="0.25">
      <c r="A630" s="2" t="s">
        <v>136</v>
      </c>
      <c r="B630" s="2" t="s">
        <v>137</v>
      </c>
      <c r="C630" s="2" t="s">
        <v>178</v>
      </c>
      <c r="D630" s="3">
        <v>29338</v>
      </c>
      <c r="E630" s="3">
        <v>684</v>
      </c>
      <c r="F630" s="3">
        <v>1467</v>
      </c>
      <c r="G630" s="3">
        <v>31489</v>
      </c>
      <c r="H630" s="3">
        <v>1067870496</v>
      </c>
      <c r="I630" s="3">
        <v>0</v>
      </c>
      <c r="J630" s="3">
        <v>1067870496</v>
      </c>
      <c r="K630" s="4">
        <v>0.95700000000000007</v>
      </c>
      <c r="L630" s="3">
        <f t="shared" si="9"/>
        <v>33912.49312458319</v>
      </c>
    </row>
    <row r="631" spans="1:12" x14ac:dyDescent="0.25">
      <c r="A631" s="5" t="s">
        <v>136</v>
      </c>
      <c r="B631" s="5" t="s">
        <v>137</v>
      </c>
      <c r="C631" s="5" t="s">
        <v>51</v>
      </c>
      <c r="D631" s="6">
        <v>29246</v>
      </c>
      <c r="E631" s="6">
        <v>334</v>
      </c>
      <c r="F631" s="6">
        <v>1028</v>
      </c>
      <c r="G631" s="6">
        <v>30608</v>
      </c>
      <c r="H631" s="6">
        <v>1067930953</v>
      </c>
      <c r="I631" s="6">
        <v>0</v>
      </c>
      <c r="J631" s="6">
        <v>1067930953</v>
      </c>
      <c r="K631" s="7">
        <v>0.95706000000000002</v>
      </c>
      <c r="L631" s="6">
        <f t="shared" si="9"/>
        <v>34890.582625457399</v>
      </c>
    </row>
    <row r="632" spans="1:12" x14ac:dyDescent="0.25">
      <c r="A632" s="2" t="s">
        <v>72</v>
      </c>
      <c r="B632" s="2" t="s">
        <v>73</v>
      </c>
      <c r="C632" s="2" t="s">
        <v>296</v>
      </c>
      <c r="D632" s="3">
        <v>47727</v>
      </c>
      <c r="E632" s="3">
        <v>534</v>
      </c>
      <c r="F632" s="3">
        <v>591</v>
      </c>
      <c r="G632" s="3">
        <v>48852</v>
      </c>
      <c r="H632" s="3">
        <v>161021802</v>
      </c>
      <c r="I632" s="3">
        <v>513698024</v>
      </c>
      <c r="J632" s="3">
        <v>674719826</v>
      </c>
      <c r="K632" s="4">
        <v>0.53839999999999999</v>
      </c>
      <c r="L632" s="3">
        <f t="shared" si="9"/>
        <v>13811.508761156145</v>
      </c>
    </row>
    <row r="633" spans="1:12" x14ac:dyDescent="0.25">
      <c r="A633" s="5" t="s">
        <v>72</v>
      </c>
      <c r="B633" s="5" t="s">
        <v>73</v>
      </c>
      <c r="C633" s="5" t="s">
        <v>436</v>
      </c>
      <c r="D633" s="6">
        <v>63659</v>
      </c>
      <c r="E633" s="6">
        <v>648</v>
      </c>
      <c r="F633" s="6">
        <v>441</v>
      </c>
      <c r="G633" s="6">
        <v>64748</v>
      </c>
      <c r="H633" s="6">
        <v>161021803</v>
      </c>
      <c r="I633" s="6">
        <v>513847837</v>
      </c>
      <c r="J633" s="6">
        <v>674869640</v>
      </c>
      <c r="K633" s="7">
        <v>0.53856999999999999</v>
      </c>
      <c r="L633" s="6">
        <f t="shared" si="9"/>
        <v>10423.019089392723</v>
      </c>
    </row>
    <row r="634" spans="1:12" x14ac:dyDescent="0.25">
      <c r="A634" s="2" t="s">
        <v>72</v>
      </c>
      <c r="B634" s="2" t="s">
        <v>73</v>
      </c>
      <c r="C634" s="2" t="s">
        <v>283</v>
      </c>
      <c r="D634" s="3">
        <v>104141</v>
      </c>
      <c r="E634" s="3">
        <v>883</v>
      </c>
      <c r="F634" s="3">
        <v>404</v>
      </c>
      <c r="G634" s="3">
        <v>105428</v>
      </c>
      <c r="H634" s="3">
        <v>161021803</v>
      </c>
      <c r="I634" s="3">
        <v>513796208</v>
      </c>
      <c r="J634" s="3">
        <v>674818011</v>
      </c>
      <c r="K634" s="4">
        <v>0.53849999999999998</v>
      </c>
      <c r="L634" s="3">
        <f t="shared" si="9"/>
        <v>6400.7475338619724</v>
      </c>
    </row>
    <row r="635" spans="1:12" x14ac:dyDescent="0.25">
      <c r="A635" s="5" t="s">
        <v>72</v>
      </c>
      <c r="B635" s="5" t="s">
        <v>73</v>
      </c>
      <c r="C635" s="5" t="s">
        <v>199</v>
      </c>
      <c r="D635" s="6">
        <v>86567</v>
      </c>
      <c r="E635" s="6">
        <v>1332</v>
      </c>
      <c r="F635" s="6">
        <v>430</v>
      </c>
      <c r="G635" s="6">
        <v>88329</v>
      </c>
      <c r="H635" s="6">
        <v>161021803</v>
      </c>
      <c r="I635" s="6">
        <v>514746912</v>
      </c>
      <c r="J635" s="6">
        <v>675768715</v>
      </c>
      <c r="K635" s="7">
        <v>0.5393</v>
      </c>
      <c r="L635" s="6">
        <f t="shared" si="9"/>
        <v>7650.5871797484406</v>
      </c>
    </row>
    <row r="636" spans="1:12" x14ac:dyDescent="0.25">
      <c r="A636" s="2" t="s">
        <v>72</v>
      </c>
      <c r="B636" s="2" t="s">
        <v>73</v>
      </c>
      <c r="C636" s="2" t="s">
        <v>200</v>
      </c>
      <c r="D636" s="3">
        <v>131065</v>
      </c>
      <c r="E636" s="3">
        <v>1604</v>
      </c>
      <c r="F636" s="3">
        <v>421</v>
      </c>
      <c r="G636" s="3">
        <v>133090</v>
      </c>
      <c r="H636" s="3">
        <v>161021703</v>
      </c>
      <c r="I636" s="3">
        <v>515080823</v>
      </c>
      <c r="J636" s="3">
        <v>676102526</v>
      </c>
      <c r="K636" s="4">
        <v>0.53959999999999997</v>
      </c>
      <c r="L636" s="3">
        <f t="shared" si="9"/>
        <v>5080.0400180329098</v>
      </c>
    </row>
    <row r="637" spans="1:12" x14ac:dyDescent="0.25">
      <c r="A637" s="5" t="s">
        <v>72</v>
      </c>
      <c r="B637" s="5" t="s">
        <v>73</v>
      </c>
      <c r="C637" s="5" t="s">
        <v>176</v>
      </c>
      <c r="D637" s="6">
        <v>180139</v>
      </c>
      <c r="E637" s="6">
        <v>1354</v>
      </c>
      <c r="F637" s="6">
        <v>410</v>
      </c>
      <c r="G637" s="6">
        <v>181903</v>
      </c>
      <c r="H637" s="6">
        <v>161021803</v>
      </c>
      <c r="I637" s="6">
        <v>515183652</v>
      </c>
      <c r="J637" s="6">
        <v>676205455</v>
      </c>
      <c r="K637" s="7">
        <v>0.53964000000000001</v>
      </c>
      <c r="L637" s="6">
        <f t="shared" si="9"/>
        <v>3717.39583734188</v>
      </c>
    </row>
    <row r="638" spans="1:12" x14ac:dyDescent="0.25">
      <c r="A638" s="2" t="s">
        <v>72</v>
      </c>
      <c r="B638" s="2" t="s">
        <v>73</v>
      </c>
      <c r="C638" s="2" t="s">
        <v>177</v>
      </c>
      <c r="D638" s="3">
        <v>135499</v>
      </c>
      <c r="E638" s="3">
        <v>1316</v>
      </c>
      <c r="F638" s="3">
        <v>454</v>
      </c>
      <c r="G638" s="3">
        <v>137269</v>
      </c>
      <c r="H638" s="3">
        <v>161021803</v>
      </c>
      <c r="I638" s="3">
        <v>515259460</v>
      </c>
      <c r="J638" s="3">
        <v>676281263</v>
      </c>
      <c r="K638" s="4">
        <v>0.53969999999999996</v>
      </c>
      <c r="L638" s="3">
        <f t="shared" si="9"/>
        <v>4926.6860179647265</v>
      </c>
    </row>
    <row r="639" spans="1:12" x14ac:dyDescent="0.25">
      <c r="A639" s="5" t="s">
        <v>72</v>
      </c>
      <c r="B639" s="5" t="s">
        <v>73</v>
      </c>
      <c r="C639" s="5" t="s">
        <v>195</v>
      </c>
      <c r="D639" s="6">
        <v>131829</v>
      </c>
      <c r="E639" s="6">
        <v>1068</v>
      </c>
      <c r="F639" s="6">
        <v>318</v>
      </c>
      <c r="G639" s="6">
        <v>133215</v>
      </c>
      <c r="H639" s="6">
        <v>167748403</v>
      </c>
      <c r="I639" s="6">
        <v>518323018</v>
      </c>
      <c r="J639" s="6">
        <v>686071421</v>
      </c>
      <c r="K639" s="7">
        <v>0.54750999999999994</v>
      </c>
      <c r="L639" s="6">
        <f t="shared" si="9"/>
        <v>5150.1063769095072</v>
      </c>
    </row>
    <row r="640" spans="1:12" x14ac:dyDescent="0.25">
      <c r="A640" s="2" t="s">
        <v>72</v>
      </c>
      <c r="B640" s="2" t="s">
        <v>73</v>
      </c>
      <c r="C640" s="2" t="s">
        <v>74</v>
      </c>
      <c r="D640" s="3">
        <v>114137</v>
      </c>
      <c r="E640" s="3">
        <v>1020</v>
      </c>
      <c r="F640" s="3">
        <v>254</v>
      </c>
      <c r="G640" s="3">
        <v>115411</v>
      </c>
      <c r="H640" s="3">
        <v>167748403</v>
      </c>
      <c r="I640" s="3">
        <v>518315018</v>
      </c>
      <c r="J640" s="3">
        <v>686063421</v>
      </c>
      <c r="K640" s="4">
        <v>0.54749999999999999</v>
      </c>
      <c r="L640" s="3">
        <f t="shared" si="9"/>
        <v>5944.5236675880114</v>
      </c>
    </row>
    <row r="641" spans="1:12" x14ac:dyDescent="0.25">
      <c r="A641" s="5" t="s">
        <v>24</v>
      </c>
      <c r="B641" s="5" t="s">
        <v>25</v>
      </c>
      <c r="C641" s="5" t="s">
        <v>349</v>
      </c>
      <c r="D641" s="6">
        <v>105289</v>
      </c>
      <c r="E641" s="6">
        <v>1175</v>
      </c>
      <c r="F641" s="6">
        <v>1271</v>
      </c>
      <c r="G641" s="6">
        <v>107735</v>
      </c>
      <c r="H641" s="6">
        <v>3147736916</v>
      </c>
      <c r="I641" s="6">
        <v>0</v>
      </c>
      <c r="J641" s="6">
        <v>3147736916</v>
      </c>
      <c r="K641" s="7">
        <v>0.59570000000000001</v>
      </c>
      <c r="L641" s="6">
        <f t="shared" si="9"/>
        <v>29217.403035225321</v>
      </c>
    </row>
    <row r="642" spans="1:12" x14ac:dyDescent="0.25">
      <c r="A642" s="2" t="s">
        <v>24</v>
      </c>
      <c r="B642" s="2" t="s">
        <v>25</v>
      </c>
      <c r="C642" s="2" t="s">
        <v>263</v>
      </c>
      <c r="D642" s="3">
        <v>136372</v>
      </c>
      <c r="E642" s="3">
        <v>1507</v>
      </c>
      <c r="F642" s="3">
        <v>1374</v>
      </c>
      <c r="G642" s="3">
        <v>139253</v>
      </c>
      <c r="H642" s="3">
        <v>3292010807</v>
      </c>
      <c r="I642" s="3">
        <v>0</v>
      </c>
      <c r="J642" s="3">
        <v>3292010807</v>
      </c>
      <c r="K642" s="4">
        <v>0.623</v>
      </c>
      <c r="L642" s="3">
        <f t="shared" ref="L642:L676" si="10">IFERROR(J642/G642,"")</f>
        <v>23640.501870695785</v>
      </c>
    </row>
    <row r="643" spans="1:12" x14ac:dyDescent="0.25">
      <c r="A643" s="5" t="s">
        <v>24</v>
      </c>
      <c r="B643" s="5" t="s">
        <v>25</v>
      </c>
      <c r="C643" s="5" t="s">
        <v>187</v>
      </c>
      <c r="D643" s="6">
        <v>201979</v>
      </c>
      <c r="E643" s="6">
        <v>2259</v>
      </c>
      <c r="F643" s="6">
        <v>1921</v>
      </c>
      <c r="G643" s="6">
        <v>206159</v>
      </c>
      <c r="H643" s="6">
        <v>5130801424</v>
      </c>
      <c r="I643" s="6">
        <v>0</v>
      </c>
      <c r="J643" s="6">
        <v>5130801424</v>
      </c>
      <c r="K643" s="7">
        <v>0.97089999999999999</v>
      </c>
      <c r="L643" s="6">
        <f t="shared" si="10"/>
        <v>24887.593672844745</v>
      </c>
    </row>
    <row r="644" spans="1:12" x14ac:dyDescent="0.25">
      <c r="A644" s="2" t="s">
        <v>24</v>
      </c>
      <c r="B644" s="2" t="s">
        <v>25</v>
      </c>
      <c r="C644" s="2" t="s">
        <v>260</v>
      </c>
      <c r="D644" s="3">
        <v>291684</v>
      </c>
      <c r="E644" s="3">
        <v>2625</v>
      </c>
      <c r="F644" s="3">
        <v>2254</v>
      </c>
      <c r="G644" s="3">
        <v>296563</v>
      </c>
      <c r="H644" s="3">
        <v>4738212436</v>
      </c>
      <c r="I644" s="3">
        <v>0</v>
      </c>
      <c r="J644" s="3">
        <v>4738212436</v>
      </c>
      <c r="K644" s="4">
        <v>0.94779999999999998</v>
      </c>
      <c r="L644" s="3">
        <f t="shared" si="10"/>
        <v>15977.085597326706</v>
      </c>
    </row>
    <row r="645" spans="1:12" x14ac:dyDescent="0.25">
      <c r="A645" s="5" t="s">
        <v>24</v>
      </c>
      <c r="B645" s="5" t="s">
        <v>25</v>
      </c>
      <c r="C645" s="5" t="s">
        <v>226</v>
      </c>
      <c r="D645" s="6">
        <v>510874</v>
      </c>
      <c r="E645" s="6">
        <v>13871</v>
      </c>
      <c r="F645" s="6">
        <v>2342</v>
      </c>
      <c r="G645" s="6">
        <v>527087</v>
      </c>
      <c r="H645" s="6">
        <v>4448529763</v>
      </c>
      <c r="I645" s="6">
        <v>0</v>
      </c>
      <c r="J645" s="6">
        <v>4448529763</v>
      </c>
      <c r="K645" s="7">
        <v>0.98006660999999995</v>
      </c>
      <c r="L645" s="6">
        <f t="shared" si="10"/>
        <v>8439.8396526569613</v>
      </c>
    </row>
    <row r="646" spans="1:12" x14ac:dyDescent="0.25">
      <c r="A646" s="2" t="s">
        <v>24</v>
      </c>
      <c r="B646" s="2" t="s">
        <v>25</v>
      </c>
      <c r="C646" s="2" t="s">
        <v>182</v>
      </c>
      <c r="D646" s="3">
        <v>528853</v>
      </c>
      <c r="E646" s="3">
        <v>15049</v>
      </c>
      <c r="F646" s="3">
        <v>1193</v>
      </c>
      <c r="G646" s="3">
        <v>545095</v>
      </c>
      <c r="H646" s="3">
        <v>4427123466</v>
      </c>
      <c r="I646" s="3">
        <v>12</v>
      </c>
      <c r="J646" s="3">
        <v>4427123478</v>
      </c>
      <c r="K646" s="4">
        <v>0.97534999999999994</v>
      </c>
      <c r="L646" s="3">
        <f t="shared" si="10"/>
        <v>8121.7466276520609</v>
      </c>
    </row>
    <row r="647" spans="1:12" x14ac:dyDescent="0.25">
      <c r="A647" s="5" t="s">
        <v>24</v>
      </c>
      <c r="B647" s="5" t="s">
        <v>25</v>
      </c>
      <c r="C647" s="5" t="s">
        <v>214</v>
      </c>
      <c r="D647" s="6">
        <v>932566</v>
      </c>
      <c r="E647" s="6">
        <v>15779</v>
      </c>
      <c r="F647" s="6">
        <v>1419</v>
      </c>
      <c r="G647" s="6">
        <v>949764</v>
      </c>
      <c r="H647" s="6">
        <v>4267772018</v>
      </c>
      <c r="I647" s="6">
        <v>12</v>
      </c>
      <c r="J647" s="6">
        <v>4267772030</v>
      </c>
      <c r="K647" s="7">
        <v>0.94023999999999996</v>
      </c>
      <c r="L647" s="6">
        <f t="shared" si="10"/>
        <v>4493.5078924869758</v>
      </c>
    </row>
    <row r="648" spans="1:12" x14ac:dyDescent="0.25">
      <c r="A648" s="2" t="s">
        <v>24</v>
      </c>
      <c r="B648" s="2" t="s">
        <v>25</v>
      </c>
      <c r="C648" s="2" t="s">
        <v>64</v>
      </c>
      <c r="D648" s="3">
        <v>748458</v>
      </c>
      <c r="E648" s="3">
        <v>13938</v>
      </c>
      <c r="F648" s="3">
        <v>1545</v>
      </c>
      <c r="G648" s="3">
        <v>763941</v>
      </c>
      <c r="H648" s="3">
        <v>4263534997</v>
      </c>
      <c r="I648" s="3">
        <v>12</v>
      </c>
      <c r="J648" s="3">
        <v>4263535009</v>
      </c>
      <c r="K648" s="4">
        <v>0.96043999999999996</v>
      </c>
      <c r="L648" s="3">
        <f t="shared" si="10"/>
        <v>5580.9741969602364</v>
      </c>
    </row>
    <row r="649" spans="1:12" x14ac:dyDescent="0.25">
      <c r="A649" s="5" t="s">
        <v>24</v>
      </c>
      <c r="B649" s="5" t="s">
        <v>25</v>
      </c>
      <c r="C649" s="5" t="s">
        <v>20</v>
      </c>
      <c r="D649" s="6">
        <v>762043</v>
      </c>
      <c r="E649" s="6">
        <v>14214</v>
      </c>
      <c r="F649" s="6">
        <v>1547</v>
      </c>
      <c r="G649" s="6">
        <v>777804</v>
      </c>
      <c r="H649" s="6">
        <v>4262140818</v>
      </c>
      <c r="I649" s="6">
        <v>12</v>
      </c>
      <c r="J649" s="6">
        <v>4262140830</v>
      </c>
      <c r="K649" s="7">
        <v>0.96011999999999997</v>
      </c>
      <c r="L649" s="6">
        <f t="shared" si="10"/>
        <v>5479.7106083280623</v>
      </c>
    </row>
    <row r="650" spans="1:12" x14ac:dyDescent="0.25">
      <c r="A650" s="2" t="s">
        <v>116</v>
      </c>
      <c r="B650" s="2" t="s">
        <v>117</v>
      </c>
      <c r="C650" s="2" t="s">
        <v>296</v>
      </c>
      <c r="D650" s="3">
        <v>5688</v>
      </c>
      <c r="E650" s="3">
        <v>237</v>
      </c>
      <c r="F650" s="3">
        <v>422</v>
      </c>
      <c r="G650" s="3">
        <v>6347</v>
      </c>
      <c r="H650" s="3">
        <v>334937500</v>
      </c>
      <c r="I650" s="3">
        <v>0</v>
      </c>
      <c r="J650" s="3">
        <v>334937500</v>
      </c>
      <c r="K650" s="4">
        <v>0.28749999999999998</v>
      </c>
      <c r="L650" s="3">
        <f t="shared" si="10"/>
        <v>52770.994170474238</v>
      </c>
    </row>
    <row r="651" spans="1:12" x14ac:dyDescent="0.25">
      <c r="A651" s="5" t="s">
        <v>116</v>
      </c>
      <c r="B651" s="5" t="s">
        <v>117</v>
      </c>
      <c r="C651" s="5" t="s">
        <v>437</v>
      </c>
      <c r="D651" s="6">
        <v>24477</v>
      </c>
      <c r="E651" s="6">
        <v>261</v>
      </c>
      <c r="F651" s="6">
        <v>1768</v>
      </c>
      <c r="G651" s="6">
        <v>26506</v>
      </c>
      <c r="H651" s="6">
        <v>728125000</v>
      </c>
      <c r="I651" s="6">
        <v>0</v>
      </c>
      <c r="J651" s="6">
        <v>728125000</v>
      </c>
      <c r="K651" s="7">
        <v>0.625</v>
      </c>
      <c r="L651" s="6">
        <f t="shared" si="10"/>
        <v>27470.195427450388</v>
      </c>
    </row>
    <row r="652" spans="1:12" x14ac:dyDescent="0.25">
      <c r="A652" s="2" t="s">
        <v>116</v>
      </c>
      <c r="B652" s="2" t="s">
        <v>117</v>
      </c>
      <c r="C652" s="2" t="s">
        <v>438</v>
      </c>
      <c r="D652" s="3">
        <v>54944</v>
      </c>
      <c r="E652" s="3">
        <v>350</v>
      </c>
      <c r="F652" s="3">
        <v>1543</v>
      </c>
      <c r="G652" s="3">
        <v>56837</v>
      </c>
      <c r="H652" s="3">
        <v>1164958126</v>
      </c>
      <c r="I652" s="3">
        <v>0</v>
      </c>
      <c r="J652" s="3">
        <v>1164958126</v>
      </c>
      <c r="K652" s="4">
        <v>0.99996404999999999</v>
      </c>
      <c r="L652" s="3">
        <f t="shared" si="10"/>
        <v>20496.474585217376</v>
      </c>
    </row>
    <row r="653" spans="1:12" x14ac:dyDescent="0.25">
      <c r="A653" s="5" t="s">
        <v>116</v>
      </c>
      <c r="B653" s="5" t="s">
        <v>117</v>
      </c>
      <c r="C653" s="5" t="s">
        <v>439</v>
      </c>
      <c r="D653" s="6">
        <v>60890</v>
      </c>
      <c r="E653" s="6">
        <v>310</v>
      </c>
      <c r="F653" s="6">
        <v>845</v>
      </c>
      <c r="G653" s="6">
        <v>62045</v>
      </c>
      <c r="H653" s="6">
        <v>1131883365</v>
      </c>
      <c r="I653" s="6">
        <v>0</v>
      </c>
      <c r="J653" s="6">
        <v>1131883365</v>
      </c>
      <c r="K653" s="7">
        <v>0.97157369999999998</v>
      </c>
      <c r="L653" s="6">
        <f t="shared" si="10"/>
        <v>18242.942461116931</v>
      </c>
    </row>
    <row r="654" spans="1:12" x14ac:dyDescent="0.25">
      <c r="A654" s="2" t="s">
        <v>116</v>
      </c>
      <c r="B654" s="2" t="s">
        <v>117</v>
      </c>
      <c r="C654" s="2" t="s">
        <v>200</v>
      </c>
      <c r="D654" s="3">
        <v>69596</v>
      </c>
      <c r="E654" s="3">
        <v>433</v>
      </c>
      <c r="F654" s="3">
        <v>1151</v>
      </c>
      <c r="G654" s="3">
        <v>71180</v>
      </c>
      <c r="H654" s="3">
        <v>1114442976</v>
      </c>
      <c r="I654" s="3">
        <v>0</v>
      </c>
      <c r="J654" s="3">
        <v>1114442976</v>
      </c>
      <c r="K654" s="4">
        <v>0.95660000000000001</v>
      </c>
      <c r="L654" s="3">
        <f t="shared" si="10"/>
        <v>15656.686934532172</v>
      </c>
    </row>
    <row r="655" spans="1:12" x14ac:dyDescent="0.25">
      <c r="A655" s="5" t="s">
        <v>116</v>
      </c>
      <c r="B655" s="5" t="s">
        <v>117</v>
      </c>
      <c r="C655" s="5" t="s">
        <v>176</v>
      </c>
      <c r="D655" s="6">
        <v>74571</v>
      </c>
      <c r="E655" s="6">
        <v>426</v>
      </c>
      <c r="F655" s="6">
        <v>996</v>
      </c>
      <c r="G655" s="6">
        <v>75993</v>
      </c>
      <c r="H655" s="6">
        <v>1114613709</v>
      </c>
      <c r="I655" s="6">
        <v>0</v>
      </c>
      <c r="J655" s="6">
        <v>1114613709</v>
      </c>
      <c r="K655" s="7">
        <v>0.99608000000000008</v>
      </c>
      <c r="L655" s="6">
        <f t="shared" si="10"/>
        <v>14667.320792704591</v>
      </c>
    </row>
    <row r="656" spans="1:12" x14ac:dyDescent="0.25">
      <c r="A656" s="2" t="s">
        <v>116</v>
      </c>
      <c r="B656" s="2" t="s">
        <v>117</v>
      </c>
      <c r="C656" s="2" t="s">
        <v>257</v>
      </c>
      <c r="D656" s="3">
        <v>85864</v>
      </c>
      <c r="E656" s="3">
        <v>583</v>
      </c>
      <c r="F656" s="3">
        <v>912</v>
      </c>
      <c r="G656" s="3">
        <v>87359</v>
      </c>
      <c r="H656" s="3">
        <v>1113939036</v>
      </c>
      <c r="I656" s="3">
        <v>0</v>
      </c>
      <c r="J656" s="3">
        <v>1113939036</v>
      </c>
      <c r="K656" s="4">
        <v>0.99548000000000003</v>
      </c>
      <c r="L656" s="3">
        <f t="shared" si="10"/>
        <v>12751.279616295975</v>
      </c>
    </row>
    <row r="657" spans="1:12" x14ac:dyDescent="0.25">
      <c r="A657" s="5" t="s">
        <v>116</v>
      </c>
      <c r="B657" s="5" t="s">
        <v>117</v>
      </c>
      <c r="C657" s="5" t="s">
        <v>178</v>
      </c>
      <c r="D657" s="6">
        <v>72031</v>
      </c>
      <c r="E657" s="6">
        <v>306</v>
      </c>
      <c r="F657" s="6">
        <v>324</v>
      </c>
      <c r="G657" s="6">
        <v>72661</v>
      </c>
      <c r="H657" s="6">
        <v>1192004780</v>
      </c>
      <c r="I657" s="6">
        <v>0</v>
      </c>
      <c r="J657" s="6">
        <v>1192004780</v>
      </c>
      <c r="K657" s="7">
        <v>0.99453000000000003</v>
      </c>
      <c r="L657" s="6">
        <f t="shared" si="10"/>
        <v>16405.014794731698</v>
      </c>
    </row>
    <row r="658" spans="1:12" x14ac:dyDescent="0.25">
      <c r="A658" s="2" t="s">
        <v>116</v>
      </c>
      <c r="B658" s="2" t="s">
        <v>117</v>
      </c>
      <c r="C658" s="2" t="s">
        <v>51</v>
      </c>
      <c r="D658" s="3">
        <v>53436</v>
      </c>
      <c r="E658" s="3">
        <v>219</v>
      </c>
      <c r="F658" s="3">
        <v>386</v>
      </c>
      <c r="G658" s="3">
        <v>54041</v>
      </c>
      <c r="H658" s="3">
        <v>1194079963</v>
      </c>
      <c r="I658" s="3">
        <v>0</v>
      </c>
      <c r="J658" s="3">
        <v>1194079963</v>
      </c>
      <c r="K658" s="4">
        <v>0.99626000000000003</v>
      </c>
      <c r="L658" s="3">
        <f t="shared" si="10"/>
        <v>22095.815454932366</v>
      </c>
    </row>
    <row r="659" spans="1:12" x14ac:dyDescent="0.25">
      <c r="A659" s="5" t="s">
        <v>44</v>
      </c>
      <c r="B659" s="5" t="s">
        <v>45</v>
      </c>
      <c r="C659" s="5" t="s">
        <v>440</v>
      </c>
      <c r="D659" s="6">
        <v>1800108</v>
      </c>
      <c r="E659" s="6">
        <v>475173</v>
      </c>
      <c r="F659" s="6">
        <v>3517</v>
      </c>
      <c r="G659" s="6">
        <v>2278798</v>
      </c>
      <c r="H659" s="6">
        <v>29320789</v>
      </c>
      <c r="I659" s="6">
        <v>415131868</v>
      </c>
      <c r="J659" s="6">
        <v>444452657</v>
      </c>
      <c r="K659" s="7">
        <v>0.26273656000000001</v>
      </c>
      <c r="L659" s="6">
        <f t="shared" si="10"/>
        <v>195.03819864683047</v>
      </c>
    </row>
    <row r="660" spans="1:12" x14ac:dyDescent="0.25">
      <c r="A660" s="2" t="s">
        <v>44</v>
      </c>
      <c r="B660" s="2" t="s">
        <v>45</v>
      </c>
      <c r="C660" s="2" t="s">
        <v>441</v>
      </c>
      <c r="D660" s="3">
        <v>1850700</v>
      </c>
      <c r="E660" s="3">
        <v>472169</v>
      </c>
      <c r="F660" s="3">
        <v>3735</v>
      </c>
      <c r="G660" s="3">
        <v>2326604</v>
      </c>
      <c r="H660" s="3">
        <v>29320789</v>
      </c>
      <c r="I660" s="3">
        <v>415131868</v>
      </c>
      <c r="J660" s="3">
        <v>444452657</v>
      </c>
      <c r="K660" s="4">
        <v>0.26273656000000001</v>
      </c>
      <c r="L660" s="3">
        <f t="shared" si="10"/>
        <v>191.03064251587293</v>
      </c>
    </row>
    <row r="661" spans="1:12" x14ac:dyDescent="0.25">
      <c r="A661" s="5" t="s">
        <v>44</v>
      </c>
      <c r="B661" s="5" t="s">
        <v>45</v>
      </c>
      <c r="C661" s="5" t="s">
        <v>442</v>
      </c>
      <c r="D661" s="6">
        <v>1847020</v>
      </c>
      <c r="E661" s="6">
        <v>461128</v>
      </c>
      <c r="F661" s="6">
        <v>3246</v>
      </c>
      <c r="G661" s="6">
        <v>2311394</v>
      </c>
      <c r="H661" s="6">
        <v>444219852</v>
      </c>
      <c r="I661" s="6">
        <v>0</v>
      </c>
      <c r="J661" s="6">
        <v>444219852</v>
      </c>
      <c r="K661" s="7">
        <v>0.26269888000000002</v>
      </c>
      <c r="L661" s="6">
        <f t="shared" si="10"/>
        <v>192.18698845804738</v>
      </c>
    </row>
    <row r="662" spans="1:12" x14ac:dyDescent="0.25">
      <c r="A662" s="2" t="s">
        <v>44</v>
      </c>
      <c r="B662" s="2" t="s">
        <v>45</v>
      </c>
      <c r="C662" s="2" t="s">
        <v>439</v>
      </c>
      <c r="D662" s="3">
        <v>1460877</v>
      </c>
      <c r="E662" s="3">
        <v>254123</v>
      </c>
      <c r="F662" s="3">
        <v>4700</v>
      </c>
      <c r="G662" s="3">
        <v>1719700</v>
      </c>
      <c r="H662" s="3">
        <v>430338452</v>
      </c>
      <c r="I662" s="3">
        <v>0</v>
      </c>
      <c r="J662" s="3">
        <v>430338452</v>
      </c>
      <c r="K662" s="4">
        <v>0.25662151999999999</v>
      </c>
      <c r="L662" s="3">
        <f t="shared" si="10"/>
        <v>250.24042100366344</v>
      </c>
    </row>
    <row r="663" spans="1:12" x14ac:dyDescent="0.25">
      <c r="A663" s="5" t="s">
        <v>44</v>
      </c>
      <c r="B663" s="5" t="s">
        <v>45</v>
      </c>
      <c r="C663" s="5" t="s">
        <v>292</v>
      </c>
      <c r="D663" s="6">
        <v>1460877</v>
      </c>
      <c r="E663" s="6">
        <v>254123</v>
      </c>
      <c r="F663" s="6">
        <v>4700</v>
      </c>
      <c r="G663" s="6">
        <v>1719700</v>
      </c>
      <c r="H663" s="6">
        <v>423091712</v>
      </c>
      <c r="I663" s="6">
        <v>0</v>
      </c>
      <c r="J663" s="6">
        <v>423091712</v>
      </c>
      <c r="K663" s="7">
        <v>0.25230011000000002</v>
      </c>
      <c r="L663" s="6">
        <f t="shared" si="10"/>
        <v>246.0264650811188</v>
      </c>
    </row>
    <row r="664" spans="1:12" x14ac:dyDescent="0.25">
      <c r="A664" s="2" t="s">
        <v>44</v>
      </c>
      <c r="B664" s="2" t="s">
        <v>45</v>
      </c>
      <c r="C664" s="2" t="s">
        <v>443</v>
      </c>
      <c r="D664" s="3">
        <v>1518183</v>
      </c>
      <c r="E664" s="3">
        <v>246594</v>
      </c>
      <c r="F664" s="3">
        <v>3173</v>
      </c>
      <c r="G664" s="3">
        <v>1767950</v>
      </c>
      <c r="H664" s="3">
        <v>408343528</v>
      </c>
      <c r="I664" s="3">
        <v>0</v>
      </c>
      <c r="J664" s="3">
        <v>408343528</v>
      </c>
      <c r="K664" s="4">
        <v>0.24709</v>
      </c>
      <c r="L664" s="3">
        <f t="shared" si="10"/>
        <v>230.97006589552873</v>
      </c>
    </row>
    <row r="665" spans="1:12" x14ac:dyDescent="0.25">
      <c r="A665" s="5" t="s">
        <v>44</v>
      </c>
      <c r="B665" s="5" t="s">
        <v>45</v>
      </c>
      <c r="C665" s="5" t="s">
        <v>380</v>
      </c>
      <c r="D665" s="6">
        <v>1464633</v>
      </c>
      <c r="E665" s="6">
        <v>247343</v>
      </c>
      <c r="F665" s="6">
        <v>1664</v>
      </c>
      <c r="G665" s="6">
        <v>1713640</v>
      </c>
      <c r="H665" s="6">
        <v>382442128</v>
      </c>
      <c r="I665" s="6">
        <v>0</v>
      </c>
      <c r="J665" s="6">
        <v>382442128</v>
      </c>
      <c r="K665" s="7">
        <v>0.23452999999999999</v>
      </c>
      <c r="L665" s="6">
        <f t="shared" si="10"/>
        <v>223.17530403118508</v>
      </c>
    </row>
    <row r="666" spans="1:12" x14ac:dyDescent="0.25">
      <c r="A666" s="2" t="s">
        <v>44</v>
      </c>
      <c r="B666" s="2" t="s">
        <v>45</v>
      </c>
      <c r="C666" s="2" t="s">
        <v>195</v>
      </c>
      <c r="D666" s="3">
        <v>176094</v>
      </c>
      <c r="E666" s="3">
        <v>39543</v>
      </c>
      <c r="F666" s="3">
        <v>567</v>
      </c>
      <c r="G666" s="3">
        <v>216204</v>
      </c>
      <c r="H666" s="3">
        <v>707125712</v>
      </c>
      <c r="I666" s="3">
        <v>0</v>
      </c>
      <c r="J666" s="3">
        <v>707125712</v>
      </c>
      <c r="K666" s="4">
        <v>0.21915999999999999</v>
      </c>
      <c r="L666" s="3">
        <f t="shared" si="10"/>
        <v>3270.6412092283213</v>
      </c>
    </row>
    <row r="667" spans="1:12" x14ac:dyDescent="0.25">
      <c r="A667" s="5" t="s">
        <v>44</v>
      </c>
      <c r="B667" s="5" t="s">
        <v>45</v>
      </c>
      <c r="C667" s="5" t="s">
        <v>17</v>
      </c>
      <c r="D667" s="6">
        <v>233281</v>
      </c>
      <c r="E667" s="6">
        <v>39774</v>
      </c>
      <c r="F667" s="6">
        <v>571</v>
      </c>
      <c r="G667" s="6">
        <v>273626</v>
      </c>
      <c r="H667" s="6">
        <v>707098992</v>
      </c>
      <c r="I667" s="6">
        <v>0</v>
      </c>
      <c r="J667" s="6">
        <v>707098992</v>
      </c>
      <c r="K667" s="7">
        <v>0.21915000000000001</v>
      </c>
      <c r="L667" s="6">
        <f t="shared" si="10"/>
        <v>2584.1805676361164</v>
      </c>
    </row>
    <row r="668" spans="1:12" x14ac:dyDescent="0.25">
      <c r="A668" s="2" t="s">
        <v>149</v>
      </c>
      <c r="B668" s="2" t="s">
        <v>150</v>
      </c>
      <c r="C668" s="2" t="s">
        <v>444</v>
      </c>
      <c r="D668" s="3">
        <v>5418</v>
      </c>
      <c r="E668" s="3">
        <v>648</v>
      </c>
      <c r="F668" s="3">
        <v>297</v>
      </c>
      <c r="G668" s="3">
        <v>6363</v>
      </c>
      <c r="H668" s="3">
        <v>300112915</v>
      </c>
      <c r="I668" s="3">
        <v>0</v>
      </c>
      <c r="J668" s="3">
        <v>300112915</v>
      </c>
      <c r="K668" s="4">
        <v>0.97096000999999998</v>
      </c>
      <c r="L668" s="3">
        <f t="shared" si="10"/>
        <v>47165.317460317463</v>
      </c>
    </row>
    <row r="669" spans="1:12" x14ac:dyDescent="0.25">
      <c r="A669" s="5" t="s">
        <v>149</v>
      </c>
      <c r="B669" s="5" t="s">
        <v>150</v>
      </c>
      <c r="C669" s="5" t="s">
        <v>227</v>
      </c>
      <c r="D669" s="6">
        <v>7192</v>
      </c>
      <c r="E669" s="6">
        <v>692</v>
      </c>
      <c r="F669" s="6">
        <v>247</v>
      </c>
      <c r="G669" s="6">
        <v>8131</v>
      </c>
      <c r="H669" s="6">
        <v>299667897</v>
      </c>
      <c r="I669" s="6">
        <v>0</v>
      </c>
      <c r="J669" s="6">
        <v>299667897</v>
      </c>
      <c r="K669" s="7">
        <v>0.96952053000000005</v>
      </c>
      <c r="L669" s="6">
        <f t="shared" si="10"/>
        <v>36854.98671750092</v>
      </c>
    </row>
    <row r="670" spans="1:12" x14ac:dyDescent="0.25">
      <c r="A670" s="2" t="s">
        <v>149</v>
      </c>
      <c r="B670" s="2" t="s">
        <v>150</v>
      </c>
      <c r="C670" s="2" t="s">
        <v>445</v>
      </c>
      <c r="D670" s="3">
        <v>24581</v>
      </c>
      <c r="E670" s="3">
        <v>186</v>
      </c>
      <c r="F670" s="3">
        <v>973</v>
      </c>
      <c r="G670" s="3">
        <v>25740</v>
      </c>
      <c r="H670" s="3">
        <v>300483575</v>
      </c>
      <c r="I670" s="3">
        <v>0</v>
      </c>
      <c r="J670" s="3">
        <v>300483575</v>
      </c>
      <c r="K670" s="4">
        <v>0.972159</v>
      </c>
      <c r="L670" s="3">
        <f t="shared" si="10"/>
        <v>11673.798562548562</v>
      </c>
    </row>
    <row r="671" spans="1:12" x14ac:dyDescent="0.25">
      <c r="A671" s="5" t="s">
        <v>149</v>
      </c>
      <c r="B671" s="5" t="s">
        <v>150</v>
      </c>
      <c r="C671" s="5" t="s">
        <v>188</v>
      </c>
      <c r="D671" s="6">
        <v>40062</v>
      </c>
      <c r="E671" s="6">
        <v>455</v>
      </c>
      <c r="F671" s="6">
        <v>713</v>
      </c>
      <c r="G671" s="6">
        <v>41230</v>
      </c>
      <c r="H671" s="6">
        <v>300833122</v>
      </c>
      <c r="I671" s="6">
        <v>0</v>
      </c>
      <c r="J671" s="6">
        <v>300833122</v>
      </c>
      <c r="K671" s="7">
        <v>0.97328999999999999</v>
      </c>
      <c r="L671" s="6">
        <f t="shared" si="10"/>
        <v>7296.4618481688094</v>
      </c>
    </row>
    <row r="672" spans="1:12" x14ac:dyDescent="0.25">
      <c r="A672" s="2" t="s">
        <v>149</v>
      </c>
      <c r="B672" s="2" t="s">
        <v>150</v>
      </c>
      <c r="C672" s="2" t="s">
        <v>200</v>
      </c>
      <c r="D672" s="3">
        <v>34861</v>
      </c>
      <c r="E672" s="3">
        <v>271</v>
      </c>
      <c r="F672" s="3">
        <v>638</v>
      </c>
      <c r="G672" s="3">
        <v>35770</v>
      </c>
      <c r="H672" s="3">
        <v>296015511</v>
      </c>
      <c r="I672" s="3">
        <v>0</v>
      </c>
      <c r="J672" s="3">
        <v>296015511</v>
      </c>
      <c r="K672" s="4">
        <v>0.9577</v>
      </c>
      <c r="L672" s="3">
        <f t="shared" si="10"/>
        <v>8275.5244897959183</v>
      </c>
    </row>
    <row r="673" spans="1:12" x14ac:dyDescent="0.25">
      <c r="A673" s="5" t="s">
        <v>149</v>
      </c>
      <c r="B673" s="5" t="s">
        <v>150</v>
      </c>
      <c r="C673" s="5" t="s">
        <v>176</v>
      </c>
      <c r="D673" s="6">
        <v>32111</v>
      </c>
      <c r="E673" s="6">
        <v>219</v>
      </c>
      <c r="F673" s="6">
        <v>495</v>
      </c>
      <c r="G673" s="6">
        <v>32825</v>
      </c>
      <c r="H673" s="6">
        <v>289347914</v>
      </c>
      <c r="I673" s="6">
        <v>0</v>
      </c>
      <c r="J673" s="6">
        <v>289347914</v>
      </c>
      <c r="K673" s="7">
        <v>0.93613000000000002</v>
      </c>
      <c r="L673" s="6">
        <f t="shared" si="10"/>
        <v>8814.8640974866721</v>
      </c>
    </row>
    <row r="674" spans="1:12" x14ac:dyDescent="0.25">
      <c r="A674" s="2" t="s">
        <v>149</v>
      </c>
      <c r="B674" s="2" t="s">
        <v>150</v>
      </c>
      <c r="C674" s="2" t="s">
        <v>213</v>
      </c>
      <c r="D674" s="3">
        <v>22698</v>
      </c>
      <c r="E674" s="3">
        <v>123</v>
      </c>
      <c r="F674" s="3">
        <v>427</v>
      </c>
      <c r="G674" s="3">
        <v>23248</v>
      </c>
      <c r="H674" s="3">
        <v>260249057</v>
      </c>
      <c r="I674" s="3">
        <v>0</v>
      </c>
      <c r="J674" s="3">
        <v>260249057</v>
      </c>
      <c r="K674" s="4">
        <v>0.94950999999999997</v>
      </c>
      <c r="L674" s="3">
        <f t="shared" si="10"/>
        <v>11194.47079318651</v>
      </c>
    </row>
    <row r="675" spans="1:12" x14ac:dyDescent="0.25">
      <c r="A675" s="5" t="s">
        <v>149</v>
      </c>
      <c r="B675" s="5" t="s">
        <v>150</v>
      </c>
      <c r="C675" s="5" t="s">
        <v>251</v>
      </c>
      <c r="D675" s="6">
        <v>21278</v>
      </c>
      <c r="E675" s="6">
        <v>116</v>
      </c>
      <c r="F675" s="6">
        <v>386</v>
      </c>
      <c r="G675" s="6">
        <v>21780</v>
      </c>
      <c r="H675" s="6">
        <v>261365845</v>
      </c>
      <c r="I675" s="6">
        <v>0</v>
      </c>
      <c r="J675" s="6">
        <v>261365845</v>
      </c>
      <c r="K675" s="7">
        <v>0.95358000000000009</v>
      </c>
      <c r="L675" s="6">
        <f t="shared" si="10"/>
        <v>12000.268365472912</v>
      </c>
    </row>
    <row r="676" spans="1:12" x14ac:dyDescent="0.25">
      <c r="A676" s="2" t="s">
        <v>149</v>
      </c>
      <c r="B676" s="2" t="s">
        <v>150</v>
      </c>
      <c r="C676" s="2" t="s">
        <v>103</v>
      </c>
      <c r="D676" s="3">
        <v>18636</v>
      </c>
      <c r="E676" s="3">
        <v>107</v>
      </c>
      <c r="F676" s="3">
        <v>328</v>
      </c>
      <c r="G676" s="3">
        <v>19071</v>
      </c>
      <c r="H676" s="3">
        <v>247852006</v>
      </c>
      <c r="I676" s="3">
        <v>0</v>
      </c>
      <c r="J676" s="3">
        <v>247852006</v>
      </c>
      <c r="K676" s="4">
        <v>0.90427999999999997</v>
      </c>
      <c r="L676" s="3">
        <f t="shared" si="10"/>
        <v>12996.277384510513</v>
      </c>
    </row>
    <row r="678" spans="1:12" x14ac:dyDescent="0.25">
      <c r="A678" s="8" t="s">
        <v>166</v>
      </c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x14ac:dyDescent="0.25">
      <c r="A679" s="8" t="s">
        <v>167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x14ac:dyDescent="0.25">
      <c r="A680" s="8" t="s">
        <v>168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x14ac:dyDescent="0.25">
      <c r="A681" s="8" t="s">
        <v>169</v>
      </c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x14ac:dyDescent="0.25">
      <c r="A682" s="8" t="s">
        <v>170</v>
      </c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</sheetData>
  <autoFilter ref="A1:L676" xr:uid="{00000000-0009-0000-0000-000002000000}"/>
  <mergeCells count="5">
    <mergeCell ref="A678:L678"/>
    <mergeCell ref="A682:L682"/>
    <mergeCell ref="A679:L679"/>
    <mergeCell ref="A680:L680"/>
    <mergeCell ref="A681:L6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(62 papéis)</vt:lpstr>
      <vt:lpstr>PETR4 - Série Histórica</vt:lpstr>
      <vt:lpstr>Todos os papéis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Vanderlei Barbosa da Silva</cp:lastModifiedBy>
  <dcterms:created xsi:type="dcterms:W3CDTF">2026-10-16T01:35:36Z</dcterms:created>
  <dcterms:modified xsi:type="dcterms:W3CDTF">2026-10-16T01:35:43Z</dcterms:modified>
</cp:coreProperties>
</file>
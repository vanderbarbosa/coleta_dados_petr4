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mestrado\coleta_dados_petr4\Mentorias\2026-09-16_Emerson_e_Julio\"/>
    </mc:Choice>
  </mc:AlternateContent>
  <xr:revisionPtr revIDLastSave="0" documentId="13_ncr:1_{100D8E4E-B2B8-467A-AC07-CDBB428758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 por item (1-7)" sheetId="1" r:id="rId1"/>
    <sheet name="Direção - métricas completas" sheetId="2" r:id="rId2"/>
    <sheet name="McNemar - pares" sheetId="3" r:id="rId3"/>
    <sheet name="Notas e limitações" sheetId="4" r:id="rId4"/>
  </sheets>
  <definedNames>
    <definedName name="_xlnm._FilterDatabase" localSheetId="1" hidden="1">'Direção - métricas completas'!$A$1:$L$9</definedName>
    <definedName name="_xlnm._FilterDatabase" localSheetId="2" hidden="1">'McNemar - pares'!$A$1:$F$7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F6" i="3"/>
  <c r="F5" i="3"/>
  <c r="F4" i="3"/>
  <c r="F3" i="3"/>
  <c r="F2" i="3"/>
  <c r="L9" i="2"/>
  <c r="G9" i="2"/>
  <c r="L8" i="2"/>
  <c r="G8" i="2"/>
  <c r="L7" i="2"/>
  <c r="G7" i="2"/>
  <c r="L6" i="2"/>
  <c r="G6" i="2"/>
  <c r="L5" i="2"/>
  <c r="G5" i="2"/>
  <c r="L4" i="2"/>
  <c r="G4" i="2"/>
  <c r="L3" i="2"/>
  <c r="G3" i="2"/>
  <c r="L2" i="2"/>
  <c r="G2" i="2"/>
  <c r="G6" i="1"/>
  <c r="G5" i="1"/>
  <c r="G4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gerador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CVM/dados/preco_e_cvm_sem_noticia.json (executado em 01/10/2026, PETR4, teste=579 pregões)</t>
        </r>
      </text>
    </comment>
    <comment ref="B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CVM/dados/preco_e_cvm_sem_noticia.json (executado em 01/10/2026, PETR4, teste=579 pregões)</t>
        </r>
      </text>
    </comment>
    <comment ref="B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CVM/dados/pesquisa_com_cvm.json (execução anterior, outra janela, PETR4, teste=653 pregões)</t>
        </r>
      </text>
    </comment>
    <comment ref="B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CVM/dados/pesquisa_com_cvm.json (execução anterior, outra janela, PETR4, teste=653 pregões)</t>
        </r>
      </text>
    </comment>
    <comment ref="B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CVM/dados/preco_e_cvm_sem_noticia.json (executado em 01/10/2026, PETR4, teste=579 pregões)</t>
        </r>
      </text>
    </comment>
    <comment ref="B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CVM/dados/preco_e_cvm_sem_noticia.json (executado em 01/10/2026, PETR4, teste=579 pregões)</t>
        </r>
      </text>
    </comment>
    <comment ref="B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CVM/dados/preco_e_cvm_sem_noticia.json (executado em 01/10/2026, PETR4, teste=579 pregões)</t>
        </r>
      </text>
    </comment>
    <comment ref="B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CVM/dados/preco_e_cvm_sem_noticia.json (executado em 01/10/2026, PETR4, teste=579 pregões)</t>
        </r>
      </text>
    </comment>
  </commentList>
</comments>
</file>

<file path=xl/sharedStrings.xml><?xml version="1.0" encoding="utf-8"?>
<sst xmlns="http://schemas.openxmlformats.org/spreadsheetml/2006/main" count="109" uniqueCount="68">
  <si>
    <t>Item</t>
  </si>
  <si>
    <t>Pedido do Prof. Julio</t>
  </si>
  <si>
    <t>Status</t>
  </si>
  <si>
    <t>Melhor acerto
(SVM / XGB)</t>
  </si>
  <si>
    <t>Classe
majoritária</t>
  </si>
  <si>
    <t>p vs palpite fixo
(melhor dos dois)</t>
  </si>
  <si>
    <t>Passa
(p&lt;0,05)?</t>
  </si>
  <si>
    <t>Média de ações por investidor; investidores por ação</t>
  </si>
  <si>
    <t>Executado — ver 16_Distribuicao_de_Capital.xlsx</t>
  </si>
  <si>
    <t>—</t>
  </si>
  <si>
    <t>Projetar direção só com preço histórico</t>
  </si>
  <si>
    <t>Executado em 01/10/2026</t>
  </si>
  <si>
    <t>51.81% / 51.81%</t>
  </si>
  <si>
    <t>Projetar direção com preço + notícia de jornal</t>
  </si>
  <si>
    <t>Reaproveitado (execução anterior, janela de teste diferente)</t>
  </si>
  <si>
    <t>52.53% / 52.83%</t>
  </si>
  <si>
    <t>Projetar direção com preço + TODOS os comunicados da CVM</t>
  </si>
  <si>
    <t>52.33% / 50.09%</t>
  </si>
  <si>
    <t>Projetar direção com preço + SÓ Fato Relevante</t>
  </si>
  <si>
    <t>52.33% / 51.47%</t>
  </si>
  <si>
    <t>Comparar SÓ Fato Relevante × TODOS os comunicados</t>
  </si>
  <si>
    <t>Executado em 01/10/2026 — ver aba McNemar (empate técnico)</t>
  </si>
  <si>
    <t>Combinar notícia de jornal + SÓ Fato Relevante</t>
  </si>
  <si>
    <t>BLOQUEADO — precisa do corpus de notícias classificado, ausente nesta máquina</t>
  </si>
  <si>
    <t>Em uma frase:</t>
  </si>
  <si>
    <t>Nenhum braço de direção (só preço, preço+CVM completo, preço+só Fato Relevante, preço+notícia) se distingue do palpite fixo. Item 6: usar só Fato Relevante ou usar todos os comunicados dá empate técnico (ver aba McNemar). Itens 1 e 7 não entram nesse veredito: o 1 é medição, não projeção; o 7 está bloqueado.</t>
  </si>
  <si>
    <t>Braço</t>
  </si>
  <si>
    <t>Fonte</t>
  </si>
  <si>
    <t>Modelo</t>
  </si>
  <si>
    <t>N teste</t>
  </si>
  <si>
    <t>Acurácia</t>
  </si>
  <si>
    <t>Ganho
(pontos)</t>
  </si>
  <si>
    <t>Precisão</t>
  </si>
  <si>
    <t>F1</t>
  </si>
  <si>
    <t>AUC</t>
  </si>
  <si>
    <t>p vs
majoritária</t>
  </si>
  <si>
    <t>Apenas preço histórico (item 2)</t>
  </si>
  <si>
    <t>Hoje (script 20)</t>
  </si>
  <si>
    <t>SVM-RBF</t>
  </si>
  <si>
    <t>XGBoost</t>
  </si>
  <si>
    <t>Preço + notícia de jornal (item 3)</t>
  </si>
  <si>
    <t>Anterior (script 18)</t>
  </si>
  <si>
    <t>Preço + CVM, TODOS os comunicados (item 4)</t>
  </si>
  <si>
    <t>Preço + CVM, SÓ Fato Relevante (item 5)</t>
  </si>
  <si>
    <t>Atenção: 'Preço + notícia' usa uma janela de teste diferente dos outros três braços (653 pregões, execução anterior, x 579 pregões, execução de hoje) — compare só de forma descritiva, não como se fosse o mesmo teste pareado.</t>
  </si>
  <si>
    <t>Comparação</t>
  </si>
  <si>
    <t>Ganhou
(só o novo acertou)</t>
  </si>
  <si>
    <t>Perdeu
(só o antigo acertou)</t>
  </si>
  <si>
    <t>p-valor</t>
  </si>
  <si>
    <t>Significativo
(p&lt;0,05)?</t>
  </si>
  <si>
    <t>5. Preço+FR acrescenta sobre 2. só preço?</t>
  </si>
  <si>
    <t>4. Preço+todos os comunicados acrescenta sobre 2. só preço?</t>
  </si>
  <si>
    <t>6. SÓ Fato Relevante × TODOS os comunicados (item 6)</t>
  </si>
  <si>
    <t>Fonte: CVM/dados/preco_e_cvm_sem_noticia.json — executado em 01/10/2026, PETR4.</t>
  </si>
  <si>
    <t>Protocolo</t>
  </si>
  <si>
    <t>Capítulo 3 da dissertação: SVM-RBF e XGBoost (300 árvores, profundidade 3, taxa 0,05, subamostragem 0,9), divisão cronológica 60/15/25 (treino/validação/teste), teste binomial contra a classe majoritária e teste de McNemar entre pares de modelo.</t>
  </si>
  <si>
    <t>Itens 2, 4, 5 e 6</t>
  </si>
  <si>
    <t>Executados em 01/10/2026 nesta máquina (CVM/20_preco_e_cvm_sem_noticia.py). O GARCH(1,1) foi reajustado aqui (ω=0,145 α=0,078 β=0,899 — bate com o α=0,085/β=0,899 já registrado antes), porque Mestrado_PETR4/base_master_petr4.csv não está nesta máquina.</t>
  </si>
  <si>
    <t>Item 3</t>
  </si>
  <si>
    <t>NÃO foi reexecutado hoje. O número vem de CVM/dados/pesquisa_com_cvm.json, calculado antes, numa janela de teste diferente (653 pregões, terminando mais cedo, contra 579 pregões de hoje, terminando em 15/09/2026). O p-valor contra a classe majoritária foi recalculado agora (o arquivo original só trazia p contra 50%).</t>
  </si>
  <si>
    <t>Item 7</t>
  </si>
  <si>
    <t>BLOQUEADO. Pede notícia de jornal combinada só com Fato Relevante. O script já existe (CVM/19_fr_vs_todos_comunicados.py) mas depende de Mestrado_PETR4/base_master_petr4.csv, que por sua vez depende do corpus de notícias classificado (indice_sentimento_petr4.csv) — nenhum dos dois está nesta máquina. Para fechar, traga esses dois arquivos de onde estão, ou rode o script 19 lá.</t>
  </si>
  <si>
    <t>Cor azul</t>
  </si>
  <si>
    <t>Toda célula em azul é um resultado medido (saída de um modelo treinado ou de um teste estatístico) — não é fórmula, é dado de origem, com a fonte anotada ao lado ou em comentário.</t>
  </si>
  <si>
    <t>Cor preta / fórmula</t>
  </si>
  <si>
    <t>'Ganho (pontos)' e 'Passa (p&lt;0,05)?' são sempre fórmula, recalculam se você trocar a acurácia ou o p-valor ao lado.</t>
  </si>
  <si>
    <t>Arredondamento em cadeia</t>
  </si>
  <si>
    <t>'Ganho (pontos)' é calculado aqui a partir da acurácia e da classe majoritária já arredondadas em 4 casas no arquivo de origem — por isso pode diferir em até 0,01 ponto percentual do número 'ganho_pp_vs_majoritaria' registrado originalmente pelo script (ex.: aqui dá -1,39; o script registrou -1,38). A diferença não muda nenhuma conclusão; é só precisão de exibição.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</si>
</sst>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\+0.00;\-0.00"/>
    <numFmt numFmtId="166" formatCode="0.000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sz val="10"/>
      <color rgb="FF0000FF"/>
      <name val="Arial"/>
    </font>
    <font>
      <i/>
      <sz val="10"/>
      <color rgb="FF595959"/>
      <name val="Arial"/>
    </font>
    <font>
      <i/>
      <sz val="9"/>
      <color rgb="FF595959"/>
      <name val="Arial"/>
    </font>
    <font>
      <b/>
      <sz val="11"/>
      <color rgb="FF1F3864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0" fontId="5" fillId="3" borderId="1" xfId="0" applyNumberFormat="1" applyFont="1" applyFill="1" applyBorder="1" applyAlignment="1">
      <alignment horizontal="right" vertical="center" wrapText="1"/>
    </xf>
    <xf numFmtId="164" fontId="5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0" fontId="2" fillId="0" borderId="0" xfId="0" applyFont="1"/>
    <xf numFmtId="0" fontId="3" fillId="0" borderId="1" xfId="0" applyFont="1" applyBorder="1"/>
    <xf numFmtId="1" fontId="5" fillId="0" borderId="1" xfId="0" applyNumberFormat="1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3" borderId="1" xfId="0" applyFont="1" applyFill="1" applyBorder="1"/>
    <xf numFmtId="1" fontId="5" fillId="3" borderId="1" xfId="0" applyNumberFormat="1" applyFont="1" applyFill="1" applyBorder="1" applyAlignment="1">
      <alignment horizontal="right"/>
    </xf>
    <xf numFmtId="10" fontId="5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6" fontId="5" fillId="3" borderId="1" xfId="0" applyNumberFormat="1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1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8" fillId="0" borderId="0" xfId="0" applyFont="1"/>
    <xf numFmtId="0" fontId="3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0" fillId="0" borderId="0" xfId="0"/>
    <xf numFmtId="0" fontId="7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2" width="38" customWidth="1"/>
    <col min="3" max="3" width="30" customWidth="1"/>
    <col min="4" max="4" width="16" customWidth="1"/>
    <col min="5" max="5" width="13" customWidth="1"/>
    <col min="6" max="6" width="18" customWidth="1"/>
    <col min="7" max="7" width="11" customWidth="1"/>
  </cols>
  <sheetData>
    <row r="1" spans="1:7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25">
      <c r="A2" s="2">
        <v>1</v>
      </c>
      <c r="B2" s="3" t="s">
        <v>7</v>
      </c>
      <c r="C2" s="3" t="s">
        <v>8</v>
      </c>
      <c r="D2" s="4" t="s">
        <v>9</v>
      </c>
      <c r="E2" s="4" t="s">
        <v>9</v>
      </c>
      <c r="F2" s="4" t="s">
        <v>9</v>
      </c>
      <c r="G2" s="4" t="s">
        <v>9</v>
      </c>
    </row>
    <row r="3" spans="1:7" ht="60" customHeight="1" x14ac:dyDescent="0.25">
      <c r="A3" s="5">
        <v>2</v>
      </c>
      <c r="B3" s="6" t="s">
        <v>10</v>
      </c>
      <c r="C3" s="6" t="s">
        <v>11</v>
      </c>
      <c r="D3" s="7" t="s">
        <v>12</v>
      </c>
      <c r="E3" s="8">
        <v>0.53200000000000003</v>
      </c>
      <c r="F3" s="9">
        <v>0.50558274331759456</v>
      </c>
      <c r="G3" s="10" t="str">
        <f>IF(F3&lt;0.05,"Sim","Não")</f>
        <v>Não</v>
      </c>
    </row>
    <row r="4" spans="1:7" ht="60" customHeight="1" x14ac:dyDescent="0.25">
      <c r="A4" s="2">
        <v>3</v>
      </c>
      <c r="B4" s="3" t="s">
        <v>13</v>
      </c>
      <c r="C4" s="3" t="s">
        <v>14</v>
      </c>
      <c r="D4" s="11" t="s">
        <v>15</v>
      </c>
      <c r="E4" s="12">
        <v>0.53139999999999998</v>
      </c>
      <c r="F4" s="13">
        <v>0.87546673333611369</v>
      </c>
      <c r="G4" s="4" t="str">
        <f>IF(F4&lt;0.05,"Sim","Não")</f>
        <v>Não</v>
      </c>
    </row>
    <row r="5" spans="1:7" ht="60" customHeight="1" x14ac:dyDescent="0.25">
      <c r="A5" s="5">
        <v>4</v>
      </c>
      <c r="B5" s="6" t="s">
        <v>16</v>
      </c>
      <c r="C5" s="6" t="s">
        <v>11</v>
      </c>
      <c r="D5" s="7" t="s">
        <v>17</v>
      </c>
      <c r="E5" s="8">
        <v>0.53200000000000003</v>
      </c>
      <c r="F5" s="9">
        <v>0.67735885721241074</v>
      </c>
      <c r="G5" s="10" t="str">
        <f>IF(F5&lt;0.05,"Sim","Não")</f>
        <v>Não</v>
      </c>
    </row>
    <row r="6" spans="1:7" ht="60" customHeight="1" x14ac:dyDescent="0.25">
      <c r="A6" s="2">
        <v>5</v>
      </c>
      <c r="B6" s="3" t="s">
        <v>18</v>
      </c>
      <c r="C6" s="3" t="s">
        <v>11</v>
      </c>
      <c r="D6" s="11" t="s">
        <v>19</v>
      </c>
      <c r="E6" s="12">
        <v>0.53200000000000003</v>
      </c>
      <c r="F6" s="13">
        <v>0.67735885721241074</v>
      </c>
      <c r="G6" s="4" t="str">
        <f>IF(F6&lt;0.05,"Sim","Não")</f>
        <v>Não</v>
      </c>
    </row>
    <row r="7" spans="1:7" ht="60" customHeight="1" x14ac:dyDescent="0.25">
      <c r="A7" s="5">
        <v>6</v>
      </c>
      <c r="B7" s="6" t="s">
        <v>20</v>
      </c>
      <c r="C7" s="6" t="s">
        <v>21</v>
      </c>
      <c r="D7" s="10" t="s">
        <v>9</v>
      </c>
      <c r="E7" s="10" t="s">
        <v>9</v>
      </c>
      <c r="F7" s="10" t="s">
        <v>9</v>
      </c>
      <c r="G7" s="10" t="s">
        <v>9</v>
      </c>
    </row>
    <row r="8" spans="1:7" ht="60" customHeight="1" x14ac:dyDescent="0.25">
      <c r="A8" s="2">
        <v>7</v>
      </c>
      <c r="B8" s="3" t="s">
        <v>22</v>
      </c>
      <c r="C8" s="3" t="s">
        <v>23</v>
      </c>
      <c r="D8" s="4" t="s">
        <v>9</v>
      </c>
      <c r="E8" s="4" t="s">
        <v>9</v>
      </c>
      <c r="F8" s="4" t="s">
        <v>9</v>
      </c>
      <c r="G8" s="4" t="s">
        <v>9</v>
      </c>
    </row>
    <row r="10" spans="1:7" x14ac:dyDescent="0.25">
      <c r="A10" s="14" t="s">
        <v>24</v>
      </c>
    </row>
    <row r="11" spans="1:7" ht="39.950000000000003" customHeight="1" x14ac:dyDescent="0.25">
      <c r="A11" s="37" t="s">
        <v>25</v>
      </c>
      <c r="B11" s="38"/>
      <c r="C11" s="38"/>
      <c r="D11" s="38"/>
      <c r="E11" s="38"/>
      <c r="F11" s="38"/>
      <c r="G11" s="38"/>
    </row>
  </sheetData>
  <mergeCells count="1"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17" customWidth="1"/>
    <col min="3" max="3" width="10" customWidth="1"/>
    <col min="4" max="4" width="9" customWidth="1"/>
    <col min="5" max="5" width="12" customWidth="1"/>
    <col min="6" max="8" width="10" customWidth="1"/>
    <col min="9" max="10" width="9" customWidth="1"/>
    <col min="11" max="11" width="11" customWidth="1"/>
    <col min="12" max="12" width="10" customWidth="1"/>
  </cols>
  <sheetData>
    <row r="1" spans="1:12" ht="32.1" customHeigh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6</v>
      </c>
    </row>
    <row r="2" spans="1:12" x14ac:dyDescent="0.25">
      <c r="A2" s="15" t="s">
        <v>36</v>
      </c>
      <c r="B2" s="15" t="s">
        <v>37</v>
      </c>
      <c r="C2" s="15" t="s">
        <v>38</v>
      </c>
      <c r="D2" s="16">
        <v>579</v>
      </c>
      <c r="E2" s="17">
        <v>0.53200000000000003</v>
      </c>
      <c r="F2" s="17">
        <v>0.5181</v>
      </c>
      <c r="G2" s="18">
        <f t="shared" ref="G2:G9" si="0">(F2-E2)*100</f>
        <v>-1.3900000000000023</v>
      </c>
      <c r="H2" s="17">
        <v>0.5262</v>
      </c>
      <c r="I2" s="17">
        <v>0.67600000000000005</v>
      </c>
      <c r="J2" s="19">
        <v>0.504</v>
      </c>
      <c r="K2" s="20">
        <v>0.50558274331759456</v>
      </c>
      <c r="L2" s="21" t="str">
        <f t="shared" ref="L2:L9" si="1">IF(K2&lt;0.05,"Sim","Não")</f>
        <v>Não</v>
      </c>
    </row>
    <row r="3" spans="1:12" x14ac:dyDescent="0.25">
      <c r="A3" s="22" t="s">
        <v>36</v>
      </c>
      <c r="B3" s="22" t="s">
        <v>37</v>
      </c>
      <c r="C3" s="22" t="s">
        <v>39</v>
      </c>
      <c r="D3" s="23">
        <v>579</v>
      </c>
      <c r="E3" s="24">
        <v>0.53200000000000003</v>
      </c>
      <c r="F3" s="24">
        <v>0.5181</v>
      </c>
      <c r="G3" s="25">
        <f t="shared" si="0"/>
        <v>-1.3900000000000023</v>
      </c>
      <c r="H3" s="24">
        <v>0.54790000000000005</v>
      </c>
      <c r="I3" s="24">
        <v>0.54339999999999999</v>
      </c>
      <c r="J3" s="26">
        <v>0.51570000000000005</v>
      </c>
      <c r="K3" s="27">
        <v>0.50558274331759456</v>
      </c>
      <c r="L3" s="28" t="str">
        <f t="shared" si="1"/>
        <v>Não</v>
      </c>
    </row>
    <row r="4" spans="1:12" x14ac:dyDescent="0.25">
      <c r="A4" s="15" t="s">
        <v>40</v>
      </c>
      <c r="B4" s="15" t="s">
        <v>41</v>
      </c>
      <c r="C4" s="15" t="s">
        <v>38</v>
      </c>
      <c r="D4" s="16">
        <v>653</v>
      </c>
      <c r="E4" s="17">
        <v>0.53139999999999998</v>
      </c>
      <c r="F4" s="17">
        <v>0.52529999999999999</v>
      </c>
      <c r="G4" s="18">
        <f t="shared" si="0"/>
        <v>-0.60999999999999943</v>
      </c>
      <c r="H4" s="17">
        <v>0.53049999999999997</v>
      </c>
      <c r="I4" s="17">
        <v>0.67510000000000003</v>
      </c>
      <c r="J4" s="19">
        <v>0.50280000000000002</v>
      </c>
      <c r="K4" s="20">
        <v>0.75394701264642161</v>
      </c>
      <c r="L4" s="21" t="str">
        <f t="shared" si="1"/>
        <v>Não</v>
      </c>
    </row>
    <row r="5" spans="1:12" x14ac:dyDescent="0.25">
      <c r="A5" s="22" t="s">
        <v>40</v>
      </c>
      <c r="B5" s="22" t="s">
        <v>41</v>
      </c>
      <c r="C5" s="22" t="s">
        <v>39</v>
      </c>
      <c r="D5" s="23">
        <v>653</v>
      </c>
      <c r="E5" s="24">
        <v>0.53139999999999998</v>
      </c>
      <c r="F5" s="24">
        <v>0.52829999999999999</v>
      </c>
      <c r="G5" s="25">
        <f t="shared" si="0"/>
        <v>-0.30999999999999917</v>
      </c>
      <c r="H5" s="24">
        <v>0.55120000000000002</v>
      </c>
      <c r="I5" s="24">
        <v>0.57689999999999997</v>
      </c>
      <c r="J5" s="26">
        <v>0.52459999999999996</v>
      </c>
      <c r="K5" s="27">
        <v>0.87546673333611369</v>
      </c>
      <c r="L5" s="28" t="str">
        <f t="shared" si="1"/>
        <v>Não</v>
      </c>
    </row>
    <row r="6" spans="1:12" x14ac:dyDescent="0.25">
      <c r="A6" s="15" t="s">
        <v>42</v>
      </c>
      <c r="B6" s="15" t="s">
        <v>37</v>
      </c>
      <c r="C6" s="15" t="s">
        <v>38</v>
      </c>
      <c r="D6" s="16">
        <v>579</v>
      </c>
      <c r="E6" s="17">
        <v>0.53200000000000003</v>
      </c>
      <c r="F6" s="17">
        <v>0.52329999999999999</v>
      </c>
      <c r="G6" s="18">
        <f t="shared" si="0"/>
        <v>-0.8700000000000041</v>
      </c>
      <c r="H6" s="17">
        <v>0.52869999999999995</v>
      </c>
      <c r="I6" s="17">
        <v>0.68130000000000002</v>
      </c>
      <c r="J6" s="19">
        <v>0.51859999999999995</v>
      </c>
      <c r="K6" s="20">
        <v>0.67735885721241074</v>
      </c>
      <c r="L6" s="21" t="str">
        <f t="shared" si="1"/>
        <v>Não</v>
      </c>
    </row>
    <row r="7" spans="1:12" x14ac:dyDescent="0.25">
      <c r="A7" s="22" t="s">
        <v>42</v>
      </c>
      <c r="B7" s="22" t="s">
        <v>37</v>
      </c>
      <c r="C7" s="22" t="s">
        <v>39</v>
      </c>
      <c r="D7" s="23">
        <v>579</v>
      </c>
      <c r="E7" s="24">
        <v>0.53200000000000003</v>
      </c>
      <c r="F7" s="24">
        <v>0.50090000000000001</v>
      </c>
      <c r="G7" s="25">
        <f t="shared" si="0"/>
        <v>-3.1100000000000017</v>
      </c>
      <c r="H7" s="24">
        <v>0.5262</v>
      </c>
      <c r="I7" s="24">
        <v>0.56930000000000003</v>
      </c>
      <c r="J7" s="26">
        <v>0.48620000000000002</v>
      </c>
      <c r="K7" s="27">
        <v>0.13408421142349661</v>
      </c>
      <c r="L7" s="28" t="str">
        <f t="shared" si="1"/>
        <v>Não</v>
      </c>
    </row>
    <row r="8" spans="1:12" x14ac:dyDescent="0.25">
      <c r="A8" s="15" t="s">
        <v>43</v>
      </c>
      <c r="B8" s="15" t="s">
        <v>37</v>
      </c>
      <c r="C8" s="15" t="s">
        <v>38</v>
      </c>
      <c r="D8" s="16">
        <v>579</v>
      </c>
      <c r="E8" s="17">
        <v>0.53200000000000003</v>
      </c>
      <c r="F8" s="17">
        <v>0.52329999999999999</v>
      </c>
      <c r="G8" s="18">
        <f t="shared" si="0"/>
        <v>-0.8700000000000041</v>
      </c>
      <c r="H8" s="17">
        <v>0.52929999999999999</v>
      </c>
      <c r="I8" s="17">
        <v>0.67679999999999996</v>
      </c>
      <c r="J8" s="19">
        <v>0.47299999999999998</v>
      </c>
      <c r="K8" s="20">
        <v>0.67735885721241074</v>
      </c>
      <c r="L8" s="21" t="str">
        <f t="shared" si="1"/>
        <v>Não</v>
      </c>
    </row>
    <row r="9" spans="1:12" x14ac:dyDescent="0.25">
      <c r="A9" s="22" t="s">
        <v>43</v>
      </c>
      <c r="B9" s="22" t="s">
        <v>37</v>
      </c>
      <c r="C9" s="22" t="s">
        <v>39</v>
      </c>
      <c r="D9" s="23">
        <v>579</v>
      </c>
      <c r="E9" s="24">
        <v>0.53200000000000003</v>
      </c>
      <c r="F9" s="24">
        <v>0.51470000000000005</v>
      </c>
      <c r="G9" s="25">
        <f t="shared" si="0"/>
        <v>-1.7299999999999982</v>
      </c>
      <c r="H9" s="24">
        <v>0.53349999999999997</v>
      </c>
      <c r="I9" s="24">
        <v>0.6048</v>
      </c>
      <c r="J9" s="26">
        <v>0.50570000000000004</v>
      </c>
      <c r="K9" s="27">
        <v>0.40530340032277062</v>
      </c>
      <c r="L9" s="28" t="str">
        <f t="shared" si="1"/>
        <v>Não</v>
      </c>
    </row>
    <row r="11" spans="1:12" x14ac:dyDescent="0.25">
      <c r="A11" s="39" t="s">
        <v>44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</sheetData>
  <autoFilter ref="A1:L9" xr:uid="{00000000-0009-0000-0000-000001000000}"/>
  <mergeCells count="1">
    <mergeCell ref="A11:L1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6" customWidth="1"/>
    <col min="2" max="2" width="10" customWidth="1"/>
    <col min="3" max="3" width="13" customWidth="1"/>
    <col min="4" max="4" width="15" customWidth="1"/>
    <col min="5" max="5" width="10" customWidth="1"/>
    <col min="6" max="6" width="12" customWidth="1"/>
  </cols>
  <sheetData>
    <row r="1" spans="1:6" ht="32.1" customHeight="1" x14ac:dyDescent="0.25">
      <c r="A1" s="1" t="s">
        <v>45</v>
      </c>
      <c r="B1" s="1" t="s">
        <v>28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x14ac:dyDescent="0.25">
      <c r="A2" s="15" t="s">
        <v>50</v>
      </c>
      <c r="B2" s="15" t="s">
        <v>38</v>
      </c>
      <c r="C2" s="29">
        <v>29</v>
      </c>
      <c r="D2" s="29">
        <v>26</v>
      </c>
      <c r="E2" s="30">
        <v>0.78770618967004313</v>
      </c>
      <c r="F2" s="31" t="str">
        <f t="shared" ref="F2:F7" si="0">IF(E2&lt;0.05,"Sim","Não")</f>
        <v>Não</v>
      </c>
    </row>
    <row r="3" spans="1:6" x14ac:dyDescent="0.25">
      <c r="A3" s="22" t="s">
        <v>50</v>
      </c>
      <c r="B3" s="22" t="s">
        <v>39</v>
      </c>
      <c r="C3" s="32">
        <v>74</v>
      </c>
      <c r="D3" s="32">
        <v>76</v>
      </c>
      <c r="E3" s="33">
        <v>0.93496148551432012</v>
      </c>
      <c r="F3" s="34" t="str">
        <f t="shared" si="0"/>
        <v>Não</v>
      </c>
    </row>
    <row r="4" spans="1:6" x14ac:dyDescent="0.25">
      <c r="A4" s="15" t="s">
        <v>51</v>
      </c>
      <c r="B4" s="15" t="s">
        <v>38</v>
      </c>
      <c r="C4" s="29">
        <v>20</v>
      </c>
      <c r="D4" s="29">
        <v>17</v>
      </c>
      <c r="E4" s="30">
        <v>0.74282935872906819</v>
      </c>
      <c r="F4" s="31" t="str">
        <f t="shared" si="0"/>
        <v>Não</v>
      </c>
    </row>
    <row r="5" spans="1:6" x14ac:dyDescent="0.25">
      <c r="A5" s="22" t="s">
        <v>51</v>
      </c>
      <c r="B5" s="22" t="s">
        <v>39</v>
      </c>
      <c r="C5" s="32">
        <v>72</v>
      </c>
      <c r="D5" s="32">
        <v>82</v>
      </c>
      <c r="E5" s="33">
        <v>0.4684207778527702</v>
      </c>
      <c r="F5" s="34" t="str">
        <f t="shared" si="0"/>
        <v>Não</v>
      </c>
    </row>
    <row r="6" spans="1:6" x14ac:dyDescent="0.25">
      <c r="A6" s="15" t="s">
        <v>52</v>
      </c>
      <c r="B6" s="15" t="s">
        <v>38</v>
      </c>
      <c r="C6" s="29">
        <v>23</v>
      </c>
      <c r="D6" s="29">
        <v>23</v>
      </c>
      <c r="E6" s="30">
        <v>1</v>
      </c>
      <c r="F6" s="31" t="str">
        <f t="shared" si="0"/>
        <v>Não</v>
      </c>
    </row>
    <row r="7" spans="1:6" x14ac:dyDescent="0.25">
      <c r="A7" s="22" t="s">
        <v>52</v>
      </c>
      <c r="B7" s="22" t="s">
        <v>39</v>
      </c>
      <c r="C7" s="32">
        <v>50</v>
      </c>
      <c r="D7" s="32">
        <v>42</v>
      </c>
      <c r="E7" s="33">
        <v>0.46570744577306189</v>
      </c>
      <c r="F7" s="34" t="str">
        <f t="shared" si="0"/>
        <v>Não</v>
      </c>
    </row>
    <row r="9" spans="1:6" x14ac:dyDescent="0.25">
      <c r="A9" s="40" t="s">
        <v>53</v>
      </c>
      <c r="B9" s="38"/>
      <c r="C9" s="38"/>
      <c r="D9" s="38"/>
      <c r="E9" s="38"/>
      <c r="F9" s="38"/>
    </row>
  </sheetData>
  <autoFilter ref="A1:F7" xr:uid="{00000000-0009-0000-0000-000002000000}"/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35" t="s">
        <v>54</v>
      </c>
    </row>
    <row r="2" spans="1:1" ht="48" customHeight="1" x14ac:dyDescent="0.25">
      <c r="A2" s="36" t="s">
        <v>55</v>
      </c>
    </row>
    <row r="4" spans="1:1" x14ac:dyDescent="0.25">
      <c r="A4" s="35" t="s">
        <v>56</v>
      </c>
    </row>
    <row r="5" spans="1:1" ht="48" customHeight="1" x14ac:dyDescent="0.25">
      <c r="A5" s="36" t="s">
        <v>57</v>
      </c>
    </row>
    <row r="7" spans="1:1" x14ac:dyDescent="0.25">
      <c r="A7" s="35" t="s">
        <v>58</v>
      </c>
    </row>
    <row r="8" spans="1:1" ht="48" customHeight="1" x14ac:dyDescent="0.25">
      <c r="A8" s="36" t="s">
        <v>59</v>
      </c>
    </row>
    <row r="10" spans="1:1" x14ac:dyDescent="0.25">
      <c r="A10" s="35" t="s">
        <v>60</v>
      </c>
    </row>
    <row r="11" spans="1:1" ht="48" customHeight="1" x14ac:dyDescent="0.25">
      <c r="A11" s="36" t="s">
        <v>61</v>
      </c>
    </row>
    <row r="13" spans="1:1" x14ac:dyDescent="0.25">
      <c r="A13" s="35" t="s">
        <v>62</v>
      </c>
    </row>
    <row r="14" spans="1:1" ht="48" customHeight="1" x14ac:dyDescent="0.25">
      <c r="A14" s="36" t="s">
        <v>63</v>
      </c>
    </row>
    <row r="16" spans="1:1" x14ac:dyDescent="0.25">
      <c r="A16" s="35" t="s">
        <v>64</v>
      </c>
    </row>
    <row r="17" spans="1:1" ht="48" customHeight="1" x14ac:dyDescent="0.25">
      <c r="A17" s="36" t="s">
        <v>65</v>
      </c>
    </row>
    <row r="19" spans="1:1" x14ac:dyDescent="0.25">
      <c r="A19" s="35" t="s">
        <v>66</v>
      </c>
    </row>
    <row r="20" spans="1:1" ht="48" customHeight="1" x14ac:dyDescent="0.25">
      <c r="A20" s="36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 por item (1-7)</vt:lpstr>
      <vt:lpstr>Direção - métricas completas</vt:lpstr>
      <vt:lpstr>McNemar - pares</vt:lpstr>
      <vt:lpstr>Notas e limitações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Vanderlei Barbosa da Silva</cp:lastModifiedBy>
  <dcterms:created xsi:type="dcterms:W3CDTF">2026-10-02T19:15:34Z</dcterms:created>
  <dcterms:modified xsi:type="dcterms:W3CDTF">2026-10-02T19:15:44Z</dcterms:modified>
</cp:coreProperties>
</file>
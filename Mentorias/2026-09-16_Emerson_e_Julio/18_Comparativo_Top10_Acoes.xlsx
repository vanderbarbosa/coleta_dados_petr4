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mestrado\coleta_dados_petr4\Mentorias\2026-09-16_Emerson_e_Julio\"/>
    </mc:Choice>
  </mc:AlternateContent>
  <xr:revisionPtr revIDLastSave="0" documentId="13_ncr:1_{59228422-7208-4BB3-B8B4-62207BCCB7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são Geral" sheetId="1" r:id="rId1"/>
    <sheet name="VALE3" sheetId="2" r:id="rId2"/>
    <sheet name="ITUB4" sheetId="3" r:id="rId3"/>
    <sheet name="PETR4" sheetId="4" r:id="rId4"/>
    <sheet name="SBSP3" sheetId="5" r:id="rId5"/>
    <sheet name="BBDC4" sheetId="6" r:id="rId6"/>
    <sheet name="B3SA3" sheetId="7" r:id="rId7"/>
    <sheet name="ITSA4" sheetId="8" r:id="rId8"/>
    <sheet name="BPAC11" sheetId="9" r:id="rId9"/>
    <sheet name="BBAS3" sheetId="10" r:id="rId10"/>
    <sheet name="ABEV3" sheetId="11" r:id="rId11"/>
  </sheets>
  <definedNames>
    <definedName name="_xlnm._FilterDatabase" localSheetId="0" hidden="1">'Visão Geral'!$A$6:$L$16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1" l="1"/>
  <c r="F31" i="11"/>
  <c r="F30" i="11"/>
  <c r="F29" i="11"/>
  <c r="F28" i="11"/>
  <c r="F27" i="11"/>
  <c r="K24" i="11"/>
  <c r="F24" i="11"/>
  <c r="K23" i="11"/>
  <c r="F23" i="11"/>
  <c r="K22" i="11"/>
  <c r="F22" i="11"/>
  <c r="L21" i="11"/>
  <c r="K21" i="11"/>
  <c r="F21" i="11"/>
  <c r="K20" i="11"/>
  <c r="F20" i="11"/>
  <c r="K19" i="11"/>
  <c r="F19" i="11"/>
  <c r="D16" i="11"/>
  <c r="L23" i="11" s="1"/>
  <c r="F32" i="10"/>
  <c r="F31" i="10"/>
  <c r="F30" i="10"/>
  <c r="F29" i="10"/>
  <c r="F28" i="10"/>
  <c r="F27" i="10"/>
  <c r="K24" i="10"/>
  <c r="F24" i="10"/>
  <c r="K23" i="10"/>
  <c r="F23" i="10"/>
  <c r="K22" i="10"/>
  <c r="F22" i="10"/>
  <c r="K21" i="10"/>
  <c r="F21" i="10"/>
  <c r="K20" i="10"/>
  <c r="F20" i="10"/>
  <c r="K19" i="10"/>
  <c r="F19" i="10"/>
  <c r="D16" i="10"/>
  <c r="L21" i="10" s="1"/>
  <c r="F32" i="9"/>
  <c r="F31" i="9"/>
  <c r="F30" i="9"/>
  <c r="F29" i="9"/>
  <c r="F28" i="9"/>
  <c r="F27" i="9"/>
  <c r="K24" i="9"/>
  <c r="F24" i="9"/>
  <c r="K23" i="9"/>
  <c r="F23" i="9"/>
  <c r="K22" i="9"/>
  <c r="F22" i="9"/>
  <c r="K21" i="9"/>
  <c r="F21" i="9"/>
  <c r="K20" i="9"/>
  <c r="F20" i="9"/>
  <c r="K19" i="9"/>
  <c r="F19" i="9"/>
  <c r="D16" i="9"/>
  <c r="L24" i="9" s="1"/>
  <c r="F32" i="8"/>
  <c r="F31" i="8"/>
  <c r="F30" i="8"/>
  <c r="F29" i="8"/>
  <c r="F28" i="8"/>
  <c r="F27" i="8"/>
  <c r="K24" i="8"/>
  <c r="F24" i="8"/>
  <c r="K23" i="8"/>
  <c r="F23" i="8"/>
  <c r="L22" i="8"/>
  <c r="K22" i="8"/>
  <c r="F22" i="8"/>
  <c r="K21" i="8"/>
  <c r="F21" i="8"/>
  <c r="L20" i="8"/>
  <c r="K20" i="8"/>
  <c r="F20" i="8"/>
  <c r="K19" i="8"/>
  <c r="F19" i="8"/>
  <c r="D16" i="8"/>
  <c r="L19" i="8" s="1"/>
  <c r="F32" i="7"/>
  <c r="F31" i="7"/>
  <c r="F30" i="7"/>
  <c r="F29" i="7"/>
  <c r="F28" i="7"/>
  <c r="F27" i="7"/>
  <c r="K24" i="7"/>
  <c r="F24" i="7"/>
  <c r="L23" i="7"/>
  <c r="K23" i="7"/>
  <c r="F23" i="7"/>
  <c r="L22" i="7"/>
  <c r="K22" i="7"/>
  <c r="F22" i="7"/>
  <c r="L21" i="7"/>
  <c r="K21" i="7"/>
  <c r="F21" i="7"/>
  <c r="L20" i="7"/>
  <c r="K20" i="7"/>
  <c r="F20" i="7"/>
  <c r="K19" i="7"/>
  <c r="F19" i="7"/>
  <c r="D16" i="7"/>
  <c r="L19" i="7" s="1"/>
  <c r="F32" i="6"/>
  <c r="F31" i="6"/>
  <c r="F30" i="6"/>
  <c r="F29" i="6"/>
  <c r="F28" i="6"/>
  <c r="F27" i="6"/>
  <c r="K24" i="6"/>
  <c r="F24" i="6"/>
  <c r="L23" i="6"/>
  <c r="K23" i="6"/>
  <c r="F23" i="6"/>
  <c r="K22" i="6"/>
  <c r="F22" i="6"/>
  <c r="K21" i="6"/>
  <c r="F21" i="6"/>
  <c r="L20" i="6"/>
  <c r="K20" i="6"/>
  <c r="F20" i="6"/>
  <c r="L19" i="6"/>
  <c r="K19" i="6"/>
  <c r="F19" i="6"/>
  <c r="D16" i="6"/>
  <c r="L22" i="6" s="1"/>
  <c r="F32" i="5"/>
  <c r="F31" i="5"/>
  <c r="F30" i="5"/>
  <c r="F29" i="5"/>
  <c r="F28" i="5"/>
  <c r="F27" i="5"/>
  <c r="K24" i="5"/>
  <c r="F24" i="5"/>
  <c r="K23" i="5"/>
  <c r="F23" i="5"/>
  <c r="K22" i="5"/>
  <c r="F22" i="5"/>
  <c r="K21" i="5"/>
  <c r="F21" i="5"/>
  <c r="K20" i="5"/>
  <c r="F20" i="5"/>
  <c r="K19" i="5"/>
  <c r="F19" i="5"/>
  <c r="D16" i="5"/>
  <c r="L20" i="5" s="1"/>
  <c r="F32" i="4"/>
  <c r="F31" i="4"/>
  <c r="F30" i="4"/>
  <c r="F29" i="4"/>
  <c r="F28" i="4"/>
  <c r="F27" i="4"/>
  <c r="K24" i="4"/>
  <c r="F24" i="4"/>
  <c r="K23" i="4"/>
  <c r="F23" i="4"/>
  <c r="K22" i="4"/>
  <c r="F22" i="4"/>
  <c r="K21" i="4"/>
  <c r="F21" i="4"/>
  <c r="K20" i="4"/>
  <c r="F20" i="4"/>
  <c r="K19" i="4"/>
  <c r="F19" i="4"/>
  <c r="D16" i="4"/>
  <c r="L23" i="4" s="1"/>
  <c r="F32" i="3"/>
  <c r="F31" i="3"/>
  <c r="F30" i="3"/>
  <c r="F29" i="3"/>
  <c r="F28" i="3"/>
  <c r="F27" i="3"/>
  <c r="K24" i="3"/>
  <c r="F24" i="3"/>
  <c r="K23" i="3"/>
  <c r="F23" i="3"/>
  <c r="K22" i="3"/>
  <c r="F22" i="3"/>
  <c r="L21" i="3"/>
  <c r="K21" i="3"/>
  <c r="F21" i="3"/>
  <c r="L20" i="3"/>
  <c r="K20" i="3"/>
  <c r="F20" i="3"/>
  <c r="L19" i="3"/>
  <c r="K19" i="3"/>
  <c r="F19" i="3"/>
  <c r="D16" i="3"/>
  <c r="L23" i="3" s="1"/>
  <c r="F32" i="2"/>
  <c r="F31" i="2"/>
  <c r="F30" i="2"/>
  <c r="F29" i="2"/>
  <c r="F28" i="2"/>
  <c r="F27" i="2"/>
  <c r="K24" i="2"/>
  <c r="F24" i="2"/>
  <c r="K23" i="2"/>
  <c r="F23" i="2"/>
  <c r="L22" i="2"/>
  <c r="K22" i="2"/>
  <c r="F22" i="2"/>
  <c r="K21" i="2"/>
  <c r="F21" i="2"/>
  <c r="K20" i="2"/>
  <c r="F20" i="2"/>
  <c r="K19" i="2"/>
  <c r="F19" i="2"/>
  <c r="D16" i="2"/>
  <c r="L19" i="2" s="1"/>
  <c r="L15" i="1"/>
  <c r="L13" i="1"/>
  <c r="L12" i="1"/>
  <c r="L11" i="1"/>
  <c r="L10" i="1"/>
  <c r="L8" i="1"/>
  <c r="L7" i="1"/>
  <c r="G4" i="1"/>
  <c r="L9" i="1" s="1"/>
  <c r="L21" i="8" l="1"/>
  <c r="L22" i="9"/>
  <c r="L23" i="10"/>
  <c r="L24" i="11"/>
  <c r="L20" i="2"/>
  <c r="L23" i="5"/>
  <c r="L24" i="7"/>
  <c r="L19" i="9"/>
  <c r="L16" i="1"/>
  <c r="L23" i="2"/>
  <c r="L24" i="10"/>
  <c r="L21" i="2"/>
  <c r="L24" i="3"/>
  <c r="L24" i="2"/>
  <c r="L22" i="10"/>
  <c r="L19" i="10"/>
  <c r="L21" i="4"/>
  <c r="L24" i="4"/>
  <c r="L21" i="5"/>
  <c r="L19" i="11"/>
  <c r="L14" i="1"/>
  <c r="L22" i="3"/>
  <c r="L19" i="4"/>
  <c r="L24" i="5"/>
  <c r="L21" i="6"/>
  <c r="L23" i="8"/>
  <c r="L20" i="9"/>
  <c r="L22" i="11"/>
  <c r="L22" i="4"/>
  <c r="L19" i="5"/>
  <c r="L24" i="6"/>
  <c r="L23" i="9"/>
  <c r="L20" i="10"/>
  <c r="L20" i="11"/>
  <c r="L22" i="5"/>
  <c r="L20" i="4"/>
  <c r="L24" i="8"/>
  <c r="L21" i="9"/>
</calcChain>
</file>

<file path=xl/sharedStrings.xml><?xml version="1.0" encoding="utf-8"?>
<sst xmlns="http://schemas.openxmlformats.org/spreadsheetml/2006/main" count="626" uniqueCount="105">
  <si>
    <t>Comparativo — as 10 principais ações do Ibovespa</t>
  </si>
  <si>
    <t>Os 10 papéis de maior peso na carteira teórica oficial do Ibovespa (B3, consultada em 02/10/2026) QUE JÁ fazem parte da pesquisa — isto é, que já têm comunicados da CVM coletados/classificados e preço coletado. Ficaram de fora, por falta de dado coletado: WEGE3, AXIA3 (ex-Eletrobras), EMBJ3 (Embraer), CPLE3, ENEV3.</t>
  </si>
  <si>
    <t>Limiar de Bonferroni (60 testes = 10 papéis × 3 braços × 2 modelos):</t>
  </si>
  <si>
    <t>Ticker</t>
  </si>
  <si>
    <t>Empresa</t>
  </si>
  <si>
    <t>Peso
Ibovespa</t>
  </si>
  <si>
    <t>Preço atual
(15/09/2026)</t>
  </si>
  <si>
    <t>Investidores
(total)</t>
  </si>
  <si>
    <t>Ações por
investidor</t>
  </si>
  <si>
    <t>Eventos CVM
(FR / todos)</t>
  </si>
  <si>
    <t>Melhor braço
(maior acerto)</t>
  </si>
  <si>
    <t>Melhor
acerto</t>
  </si>
  <si>
    <t>Classe
majoritária</t>
  </si>
  <si>
    <t>p mínimo
(6 testes)</t>
  </si>
  <si>
    <t>Sobrevive
Bonferroni?</t>
  </si>
  <si>
    <t>VALE3</t>
  </si>
  <si>
    <t>VALE S.A.</t>
  </si>
  <si>
    <t>128 / 567</t>
  </si>
  <si>
    <t>Apenas preço histórico (SVM-RBF)</t>
  </si>
  <si>
    <t>ITUB4</t>
  </si>
  <si>
    <t>ITAU UNIBANCO HOLDING S.A.</t>
  </si>
  <si>
    <t>73 / 426</t>
  </si>
  <si>
    <t>Preço + CVM (SÓ Fato Relevante) (SVM-RBF)</t>
  </si>
  <si>
    <t>PETR4</t>
  </si>
  <si>
    <t>PETROLEO BRASILEIRO S.A. PETROBRAS</t>
  </si>
  <si>
    <t>377 / 1344</t>
  </si>
  <si>
    <t>Preço + CVM (TODOS os comunicados) (SVM-RBF)</t>
  </si>
  <si>
    <t>SBSP3</t>
  </si>
  <si>
    <t>CIA SANEAMENTO BASICO EST SAO PAULO</t>
  </si>
  <si>
    <t>104 / 397</t>
  </si>
  <si>
    <t>BBDC4</t>
  </si>
  <si>
    <t>BCO BRADESCO S.A.</t>
  </si>
  <si>
    <t>45 / 166</t>
  </si>
  <si>
    <t>Apenas preço histórico (XGBoost)</t>
  </si>
  <si>
    <t>B3SA3</t>
  </si>
  <si>
    <t>B3 S.A. - BRASIL, BOLSA, BALCÃO</t>
  </si>
  <si>
    <t>55 / 288</t>
  </si>
  <si>
    <t>Preço + CVM (TODOS os comunicados) (XGBoost)</t>
  </si>
  <si>
    <t>ITSA4</t>
  </si>
  <si>
    <t>ITAÚSA S.A.</t>
  </si>
  <si>
    <t>78 / 176</t>
  </si>
  <si>
    <t>BPAC11</t>
  </si>
  <si>
    <t>BCO BTG PACTUAL S.A.</t>
  </si>
  <si>
    <t>19 / 128</t>
  </si>
  <si>
    <t>BBAS3</t>
  </si>
  <si>
    <t>BCO BRASIL S.A.</t>
  </si>
  <si>
    <t>114 / 440</t>
  </si>
  <si>
    <t>ABEV3</t>
  </si>
  <si>
    <t>AMBEV S.A.</t>
  </si>
  <si>
    <t>11 / 44</t>
  </si>
  <si>
    <t>Preço + CVM (SÓ Fato Relevante) (XGBoost)</t>
  </si>
  <si>
    <t>Conclusão: dos 60 testes, 9 deram p&lt;0,05 sem correção — número compatível com o esperado só por acaso (~3 em 60, a 5%). NENHUM sobrevive à correção de Bonferroni. Nenhum papel, nenhuma combinação de atributos, bate o palpite fixo de forma estatisticamente confiável neste protocolo.</t>
  </si>
  <si>
    <t>VALE3 — VALE S.A.</t>
  </si>
  <si>
    <t>Peso na carteira do Ibovespa</t>
  </si>
  <si>
    <t>Preço de fechamento em 2026-09-15</t>
  </si>
  <si>
    <t>Investidores — total (assembleia de 2026-04-30)</t>
  </si>
  <si>
    <t xml:space="preserve">  dos quais pessoa física</t>
  </si>
  <si>
    <t xml:space="preserve">  dos quais pessoa jurídica</t>
  </si>
  <si>
    <t xml:space="preserve">  dos quais institucionais</t>
  </si>
  <si>
    <t>Ações em circulação (free float)</t>
  </si>
  <si>
    <t>Ações por investidor (em média)</t>
  </si>
  <si>
    <t>Eventos CVM após 17h — Fato Relevante</t>
  </si>
  <si>
    <t>Eventos CVM após 17h — todos</t>
  </si>
  <si>
    <t>Pregões de teste (25% mais recentes)</t>
  </si>
  <si>
    <t>Classe majoritária no teste</t>
  </si>
  <si>
    <t>Limiar de Bonferroni (60 testes, todos os papéis):</t>
  </si>
  <si>
    <t>Braço</t>
  </si>
  <si>
    <t>Modelo</t>
  </si>
  <si>
    <t>N teste</t>
  </si>
  <si>
    <t>Acurácia</t>
  </si>
  <si>
    <t>Ganho
(pontos)</t>
  </si>
  <si>
    <t>Precisão</t>
  </si>
  <si>
    <t>F1</t>
  </si>
  <si>
    <t>AUC</t>
  </si>
  <si>
    <t>p vs
majoritária</t>
  </si>
  <si>
    <t>Passa
(p&lt;0,05)?</t>
  </si>
  <si>
    <t>Apenas preço histórico</t>
  </si>
  <si>
    <t>SVM-RBF</t>
  </si>
  <si>
    <t>XGBoost</t>
  </si>
  <si>
    <t>Preço + CVM (TODOS os comunicados)</t>
  </si>
  <si>
    <t>Preço + CVM (SÓ Fato Relevante)</t>
  </si>
  <si>
    <t>Comparação (McNemar)</t>
  </si>
  <si>
    <t>Ganhou</t>
  </si>
  <si>
    <t>Perdeu</t>
  </si>
  <si>
    <t>p-valor</t>
  </si>
  <si>
    <t>Significativo
(p&lt;0,05)?</t>
  </si>
  <si>
    <t>SÓ Fato Relevante acrescenta sobre só preço?</t>
  </si>
  <si>
    <t>TODOS os comunicados acrescentam sobre só preço?</t>
  </si>
  <si>
    <t>SÓ Fato Relevante × TODOS os comunicados</t>
  </si>
  <si>
    <t>Protocolo: Cap. 3 da dissertação (GARCH(1,1) próprio deste papel + SVM-RBF/XGBoost, divisão cronológica 60/15/25, McNemar). NÃO inclui notícia de jornal — bloqueado nesta máquina por falta do corpus classificado, mesma razão do PETR4. 'Sobrevive Bonferroni?' usa o limiar de TODOS os 60 testes do estudo, não só os 6 desta aba.</t>
  </si>
  <si>
    <t>ITUB4 — ITAU UNIBANCO HOLDING S.A.</t>
  </si>
  <si>
    <t>Investidores — total (assembleia de 2026-05-19)</t>
  </si>
  <si>
    <t>PETR4 — PETROLEO BRASILEIRO S.A. PETROBRAS</t>
  </si>
  <si>
    <t>Investidores — total (assembleia de 2026-04-16)</t>
  </si>
  <si>
    <t>SBSP3 — CIA SANEAMENTO BASICO EST SAO PAULO</t>
  </si>
  <si>
    <t>Investidores — total (assembleia de 2026-04-28)</t>
  </si>
  <si>
    <t>BBDC4 — BCO BRADESCO S.A.</t>
  </si>
  <si>
    <t>Investidores — total (assembleia de 2026-05-08)</t>
  </si>
  <si>
    <t>B3SA3 — B3 S.A. - BRASIL, BOLSA, BALCÃO</t>
  </si>
  <si>
    <t>ITSA4 — ITAÚSA S.A.</t>
  </si>
  <si>
    <t>BPAC11 — BCO BTG PACTUAL S.A.</t>
  </si>
  <si>
    <t>BBAS3 — BCO BRASIL S.A.</t>
  </si>
  <si>
    <t>Investidores — total (assembleia de 2026-04-29)</t>
  </si>
  <si>
    <t>ABEV3 — AMBEV S.A.</t>
  </si>
  <si>
    <t>Investidores — total (assembleia de 2026-08-13)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</si>
</sst>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&quot;R$&quot;\ #,##0.00"/>
    <numFmt numFmtId="166" formatCode="0.0000"/>
    <numFmt numFmtId="167" formatCode="\+0.00;\-0.00"/>
    <numFmt numFmtId="168" formatCode="0.000"/>
  </numFmts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sz val="9"/>
      <color rgb="FF595959"/>
      <name val="Arial"/>
    </font>
    <font>
      <b/>
      <sz val="10"/>
      <name val="Arial"/>
    </font>
    <font>
      <b/>
      <sz val="10"/>
      <color rgb="FF0000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0" fontId="8" fillId="0" borderId="1" xfId="0" applyNumberFormat="1" applyFont="1" applyBorder="1" applyAlignment="1">
      <alignment horizontal="right"/>
    </xf>
    <xf numFmtId="165" fontId="8" fillId="0" borderId="1" xfId="0" applyNumberFormat="1" applyFont="1" applyBorder="1" applyAlignment="1">
      <alignment horizontal="right"/>
    </xf>
    <xf numFmtId="3" fontId="8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10" fontId="8" fillId="3" borderId="1" xfId="0" applyNumberFormat="1" applyFont="1" applyFill="1" applyBorder="1" applyAlignment="1">
      <alignment horizontal="right"/>
    </xf>
    <xf numFmtId="165" fontId="8" fillId="3" borderId="1" xfId="0" applyNumberFormat="1" applyFont="1" applyFill="1" applyBorder="1" applyAlignment="1">
      <alignment horizontal="right"/>
    </xf>
    <xf numFmtId="3" fontId="8" fillId="3" borderId="1" xfId="0" applyNumberFormat="1" applyFont="1" applyFill="1" applyBorder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166" fontId="8" fillId="3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10" fontId="8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0" fontId="7" fillId="0" borderId="1" xfId="0" applyFont="1" applyBorder="1" applyAlignment="1">
      <alignment vertical="center"/>
    </xf>
    <xf numFmtId="1" fontId="8" fillId="0" borderId="1" xfId="0" applyNumberFormat="1" applyFont="1" applyBorder="1" applyAlignment="1">
      <alignment horizontal="right"/>
    </xf>
    <xf numFmtId="167" fontId="9" fillId="0" borderId="1" xfId="0" applyNumberFormat="1" applyFont="1" applyBorder="1" applyAlignment="1">
      <alignment horizontal="right"/>
    </xf>
    <xf numFmtId="168" fontId="8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7" fillId="3" borderId="1" xfId="0" applyFont="1" applyFill="1" applyBorder="1" applyAlignment="1">
      <alignment vertical="center"/>
    </xf>
    <xf numFmtId="1" fontId="8" fillId="3" borderId="1" xfId="0" applyNumberFormat="1" applyFont="1" applyFill="1" applyBorder="1" applyAlignment="1">
      <alignment horizontal="right"/>
    </xf>
    <xf numFmtId="167" fontId="9" fillId="3" borderId="1" xfId="0" applyNumberFormat="1" applyFont="1" applyFill="1" applyBorder="1" applyAlignment="1">
      <alignment horizontal="right"/>
    </xf>
    <xf numFmtId="168" fontId="8" fillId="3" borderId="1" xfId="0" applyNumberFormat="1" applyFont="1" applyFill="1" applyBorder="1" applyAlignment="1">
      <alignment horizontal="right"/>
    </xf>
    <xf numFmtId="0" fontId="9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1" fontId="8" fillId="0" borderId="1" xfId="0" applyNumberFormat="1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8" fillId="3" borderId="1" xfId="0" applyNumberFormat="1" applyFont="1" applyFill="1" applyBorder="1" applyAlignment="1">
      <alignment horizontal="center"/>
    </xf>
    <xf numFmtId="166" fontId="8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2" fillId="0" borderId="0" xfId="0" applyFont="1" applyAlignment="1">
      <alignment vertical="center" wrapText="1"/>
    </xf>
    <xf numFmtId="0" fontId="0" fillId="0" borderId="0" xfId="0"/>
    <xf numFmtId="0" fontId="3" fillId="0" borderId="0" xfId="0" applyFont="1"/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9" customWidth="1"/>
    <col min="2" max="2" width="30" customWidth="1"/>
    <col min="3" max="3" width="9" customWidth="1"/>
    <col min="4" max="4" width="13" customWidth="1"/>
    <col min="5" max="5" width="12" customWidth="1"/>
    <col min="6" max="6" width="11" customWidth="1"/>
    <col min="7" max="7" width="12" customWidth="1"/>
    <col min="8" max="8" width="32" customWidth="1"/>
    <col min="9" max="9" width="10" customWidth="1"/>
    <col min="10" max="10" width="11" customWidth="1"/>
    <col min="11" max="12" width="10" customWidth="1"/>
  </cols>
  <sheetData>
    <row r="1" spans="1:12" ht="18" x14ac:dyDescent="0.25">
      <c r="A1" s="1" t="s">
        <v>0</v>
      </c>
    </row>
    <row r="2" spans="1:12" ht="30" customHeight="1" x14ac:dyDescent="0.25">
      <c r="A2" s="42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4" spans="1:12" x14ac:dyDescent="0.25">
      <c r="A4" s="44" t="s">
        <v>2</v>
      </c>
      <c r="B4" s="43"/>
      <c r="C4" s="43"/>
      <c r="D4" s="43"/>
      <c r="E4" s="43"/>
      <c r="F4" s="43"/>
      <c r="G4" s="2">
        <f>0.05/60</f>
        <v>8.3333333333333339E-4</v>
      </c>
    </row>
    <row r="6" spans="1:12" ht="30" customHeight="1" x14ac:dyDescent="0.25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</row>
    <row r="7" spans="1:12" ht="20.100000000000001" customHeight="1" x14ac:dyDescent="0.25">
      <c r="A7" s="4" t="s">
        <v>15</v>
      </c>
      <c r="B7" s="5" t="s">
        <v>16</v>
      </c>
      <c r="C7" s="6">
        <v>9.8829999999999987E-2</v>
      </c>
      <c r="D7" s="7">
        <v>74.599999999999994</v>
      </c>
      <c r="E7" s="8">
        <v>777804</v>
      </c>
      <c r="F7" s="8">
        <v>5479.7</v>
      </c>
      <c r="G7" s="9" t="s">
        <v>17</v>
      </c>
      <c r="H7" s="5" t="s">
        <v>18</v>
      </c>
      <c r="I7" s="6">
        <v>0.50780000000000003</v>
      </c>
      <c r="J7" s="6">
        <v>0.50600000000000001</v>
      </c>
      <c r="K7" s="10">
        <v>5.0678821854275691E-2</v>
      </c>
      <c r="L7" s="11" t="str">
        <f t="shared" ref="L7:L16" si="0">IF(K7&lt;$G$4,"Sim","Não")</f>
        <v>Não</v>
      </c>
    </row>
    <row r="8" spans="1:12" ht="20.100000000000001" customHeight="1" x14ac:dyDescent="0.25">
      <c r="A8" s="12" t="s">
        <v>19</v>
      </c>
      <c r="B8" s="13" t="s">
        <v>20</v>
      </c>
      <c r="C8" s="14">
        <v>8.9849999999999999E-2</v>
      </c>
      <c r="D8" s="15">
        <v>42.67</v>
      </c>
      <c r="E8" s="16">
        <v>667798</v>
      </c>
      <c r="F8" s="16">
        <v>8676.2999999999993</v>
      </c>
      <c r="G8" s="17" t="s">
        <v>21</v>
      </c>
      <c r="H8" s="13" t="s">
        <v>22</v>
      </c>
      <c r="I8" s="14">
        <v>0.51470000000000005</v>
      </c>
      <c r="J8" s="14">
        <v>0.53369999999999995</v>
      </c>
      <c r="K8" s="18">
        <v>1.391968278005699E-2</v>
      </c>
      <c r="L8" s="19" t="str">
        <f t="shared" si="0"/>
        <v>Não</v>
      </c>
    </row>
    <row r="9" spans="1:12" ht="20.100000000000001" customHeight="1" x14ac:dyDescent="0.25">
      <c r="A9" s="4" t="s">
        <v>23</v>
      </c>
      <c r="B9" s="5" t="s">
        <v>24</v>
      </c>
      <c r="C9" s="6">
        <v>8.3699999999999997E-2</v>
      </c>
      <c r="D9" s="7">
        <v>50.43</v>
      </c>
      <c r="E9" s="8">
        <v>1183775</v>
      </c>
      <c r="F9" s="8">
        <v>6664.6</v>
      </c>
      <c r="G9" s="9" t="s">
        <v>25</v>
      </c>
      <c r="H9" s="5" t="s">
        <v>26</v>
      </c>
      <c r="I9" s="6">
        <v>0.52329999999999999</v>
      </c>
      <c r="J9" s="6">
        <v>0.53200000000000003</v>
      </c>
      <c r="K9" s="10">
        <v>0.13408421142349661</v>
      </c>
      <c r="L9" s="11" t="str">
        <f t="shared" si="0"/>
        <v>Não</v>
      </c>
    </row>
    <row r="10" spans="1:12" ht="20.100000000000001" customHeight="1" x14ac:dyDescent="0.25">
      <c r="A10" s="12" t="s">
        <v>27</v>
      </c>
      <c r="B10" s="13" t="s">
        <v>28</v>
      </c>
      <c r="C10" s="14">
        <v>3.6949999999999997E-2</v>
      </c>
      <c r="D10" s="15">
        <v>26.93</v>
      </c>
      <c r="E10" s="16">
        <v>60606</v>
      </c>
      <c r="F10" s="16">
        <v>58154.9</v>
      </c>
      <c r="G10" s="17" t="s">
        <v>29</v>
      </c>
      <c r="H10" s="13" t="s">
        <v>26</v>
      </c>
      <c r="I10" s="14">
        <v>0.51119999999999999</v>
      </c>
      <c r="J10" s="14">
        <v>0.50780000000000003</v>
      </c>
      <c r="K10" s="18">
        <v>1.412657992025184E-2</v>
      </c>
      <c r="L10" s="19" t="str">
        <f t="shared" si="0"/>
        <v>Não</v>
      </c>
    </row>
    <row r="11" spans="1:12" ht="20.100000000000001" customHeight="1" x14ac:dyDescent="0.25">
      <c r="A11" s="4" t="s">
        <v>30</v>
      </c>
      <c r="B11" s="5" t="s">
        <v>31</v>
      </c>
      <c r="C11" s="6">
        <v>3.6080000000000001E-2</v>
      </c>
      <c r="D11" s="7">
        <v>18.2</v>
      </c>
      <c r="E11" s="8">
        <v>882476</v>
      </c>
      <c r="F11" s="8">
        <v>7439.7</v>
      </c>
      <c r="G11" s="9" t="s">
        <v>32</v>
      </c>
      <c r="H11" s="5" t="s">
        <v>33</v>
      </c>
      <c r="I11" s="6">
        <v>0.50949999999999995</v>
      </c>
      <c r="J11" s="6">
        <v>0.52159999999999995</v>
      </c>
      <c r="K11" s="10">
        <v>3.379235901365428E-2</v>
      </c>
      <c r="L11" s="11" t="str">
        <f t="shared" si="0"/>
        <v>Não</v>
      </c>
    </row>
    <row r="12" spans="1:12" ht="20.100000000000001" customHeight="1" x14ac:dyDescent="0.25">
      <c r="A12" s="12" t="s">
        <v>34</v>
      </c>
      <c r="B12" s="13" t="s">
        <v>35</v>
      </c>
      <c r="C12" s="14">
        <v>3.5189999999999999E-2</v>
      </c>
      <c r="D12" s="15">
        <v>17.420000000000002</v>
      </c>
      <c r="E12" s="16">
        <v>294151</v>
      </c>
      <c r="F12" s="16">
        <v>16903.099999999999</v>
      </c>
      <c r="G12" s="17" t="s">
        <v>36</v>
      </c>
      <c r="H12" s="13" t="s">
        <v>37</v>
      </c>
      <c r="I12" s="14">
        <v>0.52849999999999997</v>
      </c>
      <c r="J12" s="14">
        <v>0.50600000000000001</v>
      </c>
      <c r="K12" s="18">
        <v>0.29878050196597861</v>
      </c>
      <c r="L12" s="19" t="str">
        <f t="shared" si="0"/>
        <v>Não</v>
      </c>
    </row>
    <row r="13" spans="1:12" ht="20.100000000000001" customHeight="1" x14ac:dyDescent="0.25">
      <c r="A13" s="4" t="s">
        <v>38</v>
      </c>
      <c r="B13" s="5" t="s">
        <v>39</v>
      </c>
      <c r="C13" s="6">
        <v>3.279E-2</v>
      </c>
      <c r="D13" s="7">
        <v>14.16</v>
      </c>
      <c r="E13" s="8">
        <v>965450</v>
      </c>
      <c r="F13" s="8">
        <v>7634.1</v>
      </c>
      <c r="G13" s="9" t="s">
        <v>40</v>
      </c>
      <c r="H13" s="5" t="s">
        <v>18</v>
      </c>
      <c r="I13" s="6">
        <v>0.51639999999999997</v>
      </c>
      <c r="J13" s="6">
        <v>0.5181</v>
      </c>
      <c r="K13" s="10">
        <v>0.11427682966072961</v>
      </c>
      <c r="L13" s="11" t="str">
        <f t="shared" si="0"/>
        <v>Não</v>
      </c>
    </row>
    <row r="14" spans="1:12" ht="20.100000000000001" customHeight="1" x14ac:dyDescent="0.25">
      <c r="A14" s="12" t="s">
        <v>41</v>
      </c>
      <c r="B14" s="13" t="s">
        <v>42</v>
      </c>
      <c r="C14" s="14">
        <v>2.9020000000000001E-2</v>
      </c>
      <c r="D14" s="15">
        <v>60.2</v>
      </c>
      <c r="E14" s="16">
        <v>124802</v>
      </c>
      <c r="F14" s="16">
        <v>28718.799999999999</v>
      </c>
      <c r="G14" s="17" t="s">
        <v>43</v>
      </c>
      <c r="H14" s="13" t="s">
        <v>33</v>
      </c>
      <c r="I14" s="14">
        <v>0.52159999999999995</v>
      </c>
      <c r="J14" s="14">
        <v>0.52680000000000005</v>
      </c>
      <c r="K14" s="18">
        <v>1.106268859888029E-2</v>
      </c>
      <c r="L14" s="19" t="str">
        <f t="shared" si="0"/>
        <v>Não</v>
      </c>
    </row>
    <row r="15" spans="1:12" ht="20.100000000000001" customHeight="1" x14ac:dyDescent="0.25">
      <c r="A15" s="4" t="s">
        <v>44</v>
      </c>
      <c r="B15" s="5" t="s">
        <v>45</v>
      </c>
      <c r="C15" s="6">
        <v>2.495E-2</v>
      </c>
      <c r="D15" s="7">
        <v>22.04</v>
      </c>
      <c r="E15" s="8">
        <v>1551254</v>
      </c>
      <c r="F15" s="8">
        <v>1832.6</v>
      </c>
      <c r="G15" s="9" t="s">
        <v>46</v>
      </c>
      <c r="H15" s="5" t="s">
        <v>26</v>
      </c>
      <c r="I15" s="6">
        <v>0.50780000000000003</v>
      </c>
      <c r="J15" s="6">
        <v>0.50260000000000005</v>
      </c>
      <c r="K15" s="10">
        <v>0.2128368170938118</v>
      </c>
      <c r="L15" s="11" t="str">
        <f t="shared" si="0"/>
        <v>Não</v>
      </c>
    </row>
    <row r="16" spans="1:12" ht="20.100000000000001" customHeight="1" x14ac:dyDescent="0.25">
      <c r="A16" s="12" t="s">
        <v>47</v>
      </c>
      <c r="B16" s="13" t="s">
        <v>48</v>
      </c>
      <c r="C16" s="14">
        <v>2.3769999999999999E-2</v>
      </c>
      <c r="D16" s="15">
        <v>15.73</v>
      </c>
      <c r="E16" s="16">
        <v>213087</v>
      </c>
      <c r="F16" s="16">
        <v>18975.099999999999</v>
      </c>
      <c r="G16" s="17" t="s">
        <v>49</v>
      </c>
      <c r="H16" s="13" t="s">
        <v>50</v>
      </c>
      <c r="I16" s="14">
        <v>0.5544</v>
      </c>
      <c r="J16" s="14">
        <v>0.50090000000000001</v>
      </c>
      <c r="K16" s="18">
        <v>9.980250428820777E-3</v>
      </c>
      <c r="L16" s="19" t="str">
        <f t="shared" si="0"/>
        <v>Não</v>
      </c>
    </row>
    <row r="18" spans="1:12" ht="45.95" customHeight="1" x14ac:dyDescent="0.25">
      <c r="A18" s="42" t="s">
        <v>51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</row>
  </sheetData>
  <autoFilter ref="A6:L16" xr:uid="{00000000-0009-0000-0000-000000000000}"/>
  <mergeCells count="3">
    <mergeCell ref="A2:L2"/>
    <mergeCell ref="A4:F4"/>
    <mergeCell ref="A18:L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"/>
  <sheetViews>
    <sheetView workbookViewId="0"/>
  </sheetViews>
  <sheetFormatPr defaultRowHeight="15" x14ac:dyDescent="0.25"/>
  <cols>
    <col min="1" max="1" width="42" customWidth="1"/>
    <col min="2" max="2" width="10" customWidth="1"/>
    <col min="3" max="4" width="9" customWidth="1"/>
    <col min="5" max="5" width="10" customWidth="1"/>
    <col min="6" max="6" width="12" customWidth="1"/>
    <col min="7" max="7" width="10" customWidth="1"/>
    <col min="8" max="8" width="9" customWidth="1"/>
    <col min="9" max="9" width="8" customWidth="1"/>
    <col min="10" max="11" width="10" customWidth="1"/>
    <col min="12" max="12" width="11" customWidth="1"/>
  </cols>
  <sheetData>
    <row r="1" spans="1:6" ht="18" x14ac:dyDescent="0.25">
      <c r="A1" s="45" t="s">
        <v>52</v>
      </c>
      <c r="B1" s="43"/>
      <c r="C1" s="43"/>
      <c r="D1" s="43"/>
      <c r="E1" s="43"/>
      <c r="F1" s="43"/>
    </row>
    <row r="3" spans="1:6" x14ac:dyDescent="0.25">
      <c r="A3" s="20" t="s">
        <v>53</v>
      </c>
      <c r="B3" s="21">
        <v>9.8829999999999987E-2</v>
      </c>
    </row>
    <row r="4" spans="1:6" x14ac:dyDescent="0.25">
      <c r="A4" s="20" t="s">
        <v>54</v>
      </c>
      <c r="B4" s="22">
        <v>74.599999999999994</v>
      </c>
    </row>
    <row r="5" spans="1:6" x14ac:dyDescent="0.25">
      <c r="A5" s="20" t="s">
        <v>55</v>
      </c>
      <c r="B5" s="23">
        <v>777804</v>
      </c>
    </row>
    <row r="6" spans="1:6" x14ac:dyDescent="0.25">
      <c r="A6" s="20" t="s">
        <v>56</v>
      </c>
      <c r="B6" s="23">
        <v>762043</v>
      </c>
    </row>
    <row r="7" spans="1:6" x14ac:dyDescent="0.25">
      <c r="A7" s="20" t="s">
        <v>57</v>
      </c>
      <c r="B7" s="23">
        <v>14214</v>
      </c>
    </row>
    <row r="8" spans="1:6" x14ac:dyDescent="0.25">
      <c r="A8" s="20" t="s">
        <v>58</v>
      </c>
      <c r="B8" s="23">
        <v>1547</v>
      </c>
    </row>
    <row r="9" spans="1:6" x14ac:dyDescent="0.25">
      <c r="A9" s="20" t="s">
        <v>59</v>
      </c>
      <c r="B9" s="23">
        <v>4262140830</v>
      </c>
    </row>
    <row r="10" spans="1:6" x14ac:dyDescent="0.25">
      <c r="A10" s="20" t="s">
        <v>60</v>
      </c>
      <c r="B10" s="23">
        <v>5479.7</v>
      </c>
    </row>
    <row r="11" spans="1:6" x14ac:dyDescent="0.25">
      <c r="A11" s="20" t="s">
        <v>61</v>
      </c>
      <c r="B11" s="23">
        <v>128</v>
      </c>
    </row>
    <row r="12" spans="1:6" x14ac:dyDescent="0.25">
      <c r="A12" s="20" t="s">
        <v>62</v>
      </c>
      <c r="B12" s="23">
        <v>567</v>
      </c>
    </row>
    <row r="13" spans="1:6" x14ac:dyDescent="0.25">
      <c r="A13" s="20" t="s">
        <v>63</v>
      </c>
      <c r="B13" s="23">
        <v>579</v>
      </c>
    </row>
    <row r="14" spans="1:6" x14ac:dyDescent="0.25">
      <c r="A14" s="20" t="s">
        <v>64</v>
      </c>
      <c r="B14" s="21">
        <v>0.50600000000000001</v>
      </c>
    </row>
    <row r="16" spans="1:6" x14ac:dyDescent="0.25">
      <c r="A16" s="46" t="s">
        <v>65</v>
      </c>
      <c r="B16" s="43"/>
      <c r="C16" s="43"/>
      <c r="D16" s="2">
        <f>0.05/60</f>
        <v>8.3333333333333339E-4</v>
      </c>
    </row>
    <row r="18" spans="1:12" ht="30" customHeight="1" x14ac:dyDescent="0.25">
      <c r="A18" s="3" t="s">
        <v>66</v>
      </c>
      <c r="B18" s="3" t="s">
        <v>67</v>
      </c>
      <c r="C18" s="3" t="s">
        <v>68</v>
      </c>
      <c r="D18" s="3" t="s">
        <v>12</v>
      </c>
      <c r="E18" s="3" t="s">
        <v>69</v>
      </c>
      <c r="F18" s="3" t="s">
        <v>70</v>
      </c>
      <c r="G18" s="3" t="s">
        <v>71</v>
      </c>
      <c r="H18" s="3" t="s">
        <v>72</v>
      </c>
      <c r="I18" s="3" t="s">
        <v>73</v>
      </c>
      <c r="J18" s="3" t="s">
        <v>74</v>
      </c>
      <c r="K18" s="3" t="s">
        <v>75</v>
      </c>
      <c r="L18" s="3" t="s">
        <v>14</v>
      </c>
    </row>
    <row r="19" spans="1:12" x14ac:dyDescent="0.25">
      <c r="A19" s="24" t="s">
        <v>76</v>
      </c>
      <c r="B19" s="24" t="s">
        <v>77</v>
      </c>
      <c r="C19" s="25">
        <v>579</v>
      </c>
      <c r="D19" s="6">
        <v>0.50600000000000001</v>
      </c>
      <c r="E19" s="6">
        <v>0.50780000000000003</v>
      </c>
      <c r="F19" s="26">
        <f t="shared" ref="F19:F24" si="0">(E19-D19)*100</f>
        <v>0.18000000000000238</v>
      </c>
      <c r="G19" s="6">
        <v>0.50880000000000003</v>
      </c>
      <c r="H19" s="6">
        <v>0.61950000000000005</v>
      </c>
      <c r="I19" s="27">
        <v>0.50370000000000004</v>
      </c>
      <c r="J19" s="10">
        <v>0.96685294375039843</v>
      </c>
      <c r="K19" s="28" t="str">
        <f t="shared" ref="K19:K24" si="1">IF(J19&lt;0.05,"Sim","Não")</f>
        <v>Não</v>
      </c>
      <c r="L19" s="29" t="str">
        <f t="shared" ref="L19:L24" si="2">IF(J19&lt;$D$16,"Sim","Não")</f>
        <v>Não</v>
      </c>
    </row>
    <row r="20" spans="1:12" x14ac:dyDescent="0.25">
      <c r="A20" s="30" t="s">
        <v>76</v>
      </c>
      <c r="B20" s="30" t="s">
        <v>78</v>
      </c>
      <c r="C20" s="31">
        <v>579</v>
      </c>
      <c r="D20" s="14">
        <v>0.50600000000000001</v>
      </c>
      <c r="E20" s="14">
        <v>0.46460000000000001</v>
      </c>
      <c r="F20" s="32">
        <f t="shared" si="0"/>
        <v>-4.1399999999999988</v>
      </c>
      <c r="G20" s="14">
        <v>0.47039999999999998</v>
      </c>
      <c r="H20" s="14">
        <v>0.46550000000000002</v>
      </c>
      <c r="I20" s="33">
        <v>0.47660000000000002</v>
      </c>
      <c r="J20" s="18">
        <v>5.0678821854275691E-2</v>
      </c>
      <c r="K20" s="34" t="str">
        <f t="shared" si="1"/>
        <v>Não</v>
      </c>
      <c r="L20" s="35" t="str">
        <f t="shared" si="2"/>
        <v>Não</v>
      </c>
    </row>
    <row r="21" spans="1:12" x14ac:dyDescent="0.25">
      <c r="A21" s="24" t="s">
        <v>79</v>
      </c>
      <c r="B21" s="24" t="s">
        <v>77</v>
      </c>
      <c r="C21" s="25">
        <v>579</v>
      </c>
      <c r="D21" s="6">
        <v>0.50600000000000001</v>
      </c>
      <c r="E21" s="6">
        <v>0.49740000000000001</v>
      </c>
      <c r="F21" s="26">
        <f t="shared" si="0"/>
        <v>-0.85999999999999965</v>
      </c>
      <c r="G21" s="6">
        <v>0.50219999999999998</v>
      </c>
      <c r="H21" s="6">
        <v>0.61040000000000005</v>
      </c>
      <c r="I21" s="27">
        <v>0.49680000000000002</v>
      </c>
      <c r="J21" s="10">
        <v>0.67798354609161215</v>
      </c>
      <c r="K21" s="28" t="str">
        <f t="shared" si="1"/>
        <v>Não</v>
      </c>
      <c r="L21" s="29" t="str">
        <f t="shared" si="2"/>
        <v>Não</v>
      </c>
    </row>
    <row r="22" spans="1:12" x14ac:dyDescent="0.25">
      <c r="A22" s="30" t="s">
        <v>79</v>
      </c>
      <c r="B22" s="30" t="s">
        <v>78</v>
      </c>
      <c r="C22" s="31">
        <v>579</v>
      </c>
      <c r="D22" s="14">
        <v>0.50600000000000001</v>
      </c>
      <c r="E22" s="14">
        <v>0.48880000000000001</v>
      </c>
      <c r="F22" s="32">
        <f t="shared" si="0"/>
        <v>-1.7199999999999993</v>
      </c>
      <c r="G22" s="14">
        <v>0.49530000000000002</v>
      </c>
      <c r="H22" s="14">
        <v>0.51629999999999998</v>
      </c>
      <c r="I22" s="33">
        <v>0.48609999999999998</v>
      </c>
      <c r="J22" s="18">
        <v>0.40626098143585571</v>
      </c>
      <c r="K22" s="34" t="str">
        <f t="shared" si="1"/>
        <v>Não</v>
      </c>
      <c r="L22" s="35" t="str">
        <f t="shared" si="2"/>
        <v>Não</v>
      </c>
    </row>
    <row r="23" spans="1:12" x14ac:dyDescent="0.25">
      <c r="A23" s="24" t="s">
        <v>80</v>
      </c>
      <c r="B23" s="24" t="s">
        <v>77</v>
      </c>
      <c r="C23" s="25">
        <v>579</v>
      </c>
      <c r="D23" s="6">
        <v>0.50600000000000001</v>
      </c>
      <c r="E23" s="6">
        <v>0.49399999999999999</v>
      </c>
      <c r="F23" s="26">
        <f t="shared" si="0"/>
        <v>-1.2000000000000011</v>
      </c>
      <c r="G23" s="6">
        <v>0.5</v>
      </c>
      <c r="H23" s="6">
        <v>0.64400000000000002</v>
      </c>
      <c r="I23" s="27">
        <v>0.50219999999999998</v>
      </c>
      <c r="J23" s="10">
        <v>0.56102748072078223</v>
      </c>
      <c r="K23" s="28" t="str">
        <f t="shared" si="1"/>
        <v>Não</v>
      </c>
      <c r="L23" s="29" t="str">
        <f t="shared" si="2"/>
        <v>Não</v>
      </c>
    </row>
    <row r="24" spans="1:12" x14ac:dyDescent="0.25">
      <c r="A24" s="30" t="s">
        <v>80</v>
      </c>
      <c r="B24" s="30" t="s">
        <v>78</v>
      </c>
      <c r="C24" s="31">
        <v>579</v>
      </c>
      <c r="D24" s="14">
        <v>0.50600000000000001</v>
      </c>
      <c r="E24" s="14">
        <v>0.49909999999999999</v>
      </c>
      <c r="F24" s="32">
        <f t="shared" si="0"/>
        <v>-0.69000000000000172</v>
      </c>
      <c r="G24" s="14">
        <v>0.50460000000000005</v>
      </c>
      <c r="H24" s="14">
        <v>0.53069999999999995</v>
      </c>
      <c r="I24" s="33">
        <v>0.49259999999999998</v>
      </c>
      <c r="J24" s="18">
        <v>0.73976071250450381</v>
      </c>
      <c r="K24" s="34" t="str">
        <f t="shared" si="1"/>
        <v>Não</v>
      </c>
      <c r="L24" s="35" t="str">
        <f t="shared" si="2"/>
        <v>Não</v>
      </c>
    </row>
    <row r="26" spans="1:12" ht="30" customHeight="1" x14ac:dyDescent="0.25">
      <c r="A26" s="3" t="s">
        <v>81</v>
      </c>
      <c r="B26" s="3" t="s">
        <v>67</v>
      </c>
      <c r="C26" s="3" t="s">
        <v>82</v>
      </c>
      <c r="D26" s="3" t="s">
        <v>83</v>
      </c>
      <c r="E26" s="3" t="s">
        <v>84</v>
      </c>
      <c r="F26" s="3" t="s">
        <v>85</v>
      </c>
    </row>
    <row r="27" spans="1:12" x14ac:dyDescent="0.25">
      <c r="A27" s="24" t="s">
        <v>86</v>
      </c>
      <c r="B27" s="24" t="s">
        <v>77</v>
      </c>
      <c r="C27" s="36">
        <v>53</v>
      </c>
      <c r="D27" s="36">
        <v>61</v>
      </c>
      <c r="E27" s="37">
        <v>0.51225487222984523</v>
      </c>
      <c r="F27" s="38" t="str">
        <f t="shared" ref="F27:F32" si="3">IF(E27&lt;0.05,"Sim","Não")</f>
        <v>Não</v>
      </c>
    </row>
    <row r="28" spans="1:12" x14ac:dyDescent="0.25">
      <c r="A28" s="30" t="s">
        <v>86</v>
      </c>
      <c r="B28" s="30" t="s">
        <v>78</v>
      </c>
      <c r="C28" s="39">
        <v>77</v>
      </c>
      <c r="D28" s="39">
        <v>57</v>
      </c>
      <c r="E28" s="40">
        <v>0.1003657014974618</v>
      </c>
      <c r="F28" s="41" t="str">
        <f t="shared" si="3"/>
        <v>Não</v>
      </c>
    </row>
    <row r="29" spans="1:12" x14ac:dyDescent="0.25">
      <c r="A29" s="24" t="s">
        <v>87</v>
      </c>
      <c r="B29" s="24" t="s">
        <v>77</v>
      </c>
      <c r="C29" s="36">
        <v>82</v>
      </c>
      <c r="D29" s="36">
        <v>88</v>
      </c>
      <c r="E29" s="37">
        <v>0.7014821003407139</v>
      </c>
      <c r="F29" s="38" t="str">
        <f t="shared" si="3"/>
        <v>Não</v>
      </c>
    </row>
    <row r="30" spans="1:12" x14ac:dyDescent="0.25">
      <c r="A30" s="30" t="s">
        <v>87</v>
      </c>
      <c r="B30" s="30" t="s">
        <v>78</v>
      </c>
      <c r="C30" s="39">
        <v>88</v>
      </c>
      <c r="D30" s="39">
        <v>74</v>
      </c>
      <c r="E30" s="40">
        <v>0.30706733334446418</v>
      </c>
      <c r="F30" s="41" t="str">
        <f t="shared" si="3"/>
        <v>Não</v>
      </c>
    </row>
    <row r="31" spans="1:12" x14ac:dyDescent="0.25">
      <c r="A31" s="24" t="s">
        <v>88</v>
      </c>
      <c r="B31" s="24" t="s">
        <v>77</v>
      </c>
      <c r="C31" s="36">
        <v>49</v>
      </c>
      <c r="D31" s="36">
        <v>51</v>
      </c>
      <c r="E31" s="37">
        <v>0.92041076261282107</v>
      </c>
      <c r="F31" s="38" t="str">
        <f t="shared" si="3"/>
        <v>Não</v>
      </c>
    </row>
    <row r="32" spans="1:12" x14ac:dyDescent="0.25">
      <c r="A32" s="30" t="s">
        <v>88</v>
      </c>
      <c r="B32" s="30" t="s">
        <v>78</v>
      </c>
      <c r="C32" s="39">
        <v>43</v>
      </c>
      <c r="D32" s="39">
        <v>37</v>
      </c>
      <c r="E32" s="40">
        <v>0.57643062618839314</v>
      </c>
      <c r="F32" s="41" t="str">
        <f t="shared" si="3"/>
        <v>Não</v>
      </c>
    </row>
    <row r="34" spans="1:12" ht="45.95" customHeight="1" x14ac:dyDescent="0.25">
      <c r="A34" s="42" t="s">
        <v>89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</row>
  </sheetData>
  <mergeCells count="3">
    <mergeCell ref="A1:F1"/>
    <mergeCell ref="A16:C16"/>
    <mergeCell ref="A34:L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4"/>
  <sheetViews>
    <sheetView workbookViewId="0"/>
  </sheetViews>
  <sheetFormatPr defaultRowHeight="15" x14ac:dyDescent="0.25"/>
  <cols>
    <col min="1" max="1" width="42" customWidth="1"/>
    <col min="2" max="2" width="10" customWidth="1"/>
    <col min="3" max="4" width="9" customWidth="1"/>
    <col min="5" max="5" width="10" customWidth="1"/>
    <col min="6" max="6" width="12" customWidth="1"/>
    <col min="7" max="7" width="10" customWidth="1"/>
    <col min="8" max="8" width="9" customWidth="1"/>
    <col min="9" max="9" width="8" customWidth="1"/>
    <col min="10" max="11" width="10" customWidth="1"/>
    <col min="12" max="12" width="11" customWidth="1"/>
  </cols>
  <sheetData>
    <row r="1" spans="1:6" ht="18" x14ac:dyDescent="0.25">
      <c r="A1" s="45" t="s">
        <v>90</v>
      </c>
      <c r="B1" s="43"/>
      <c r="C1" s="43"/>
      <c r="D1" s="43"/>
      <c r="E1" s="43"/>
      <c r="F1" s="43"/>
    </row>
    <row r="3" spans="1:6" x14ac:dyDescent="0.25">
      <c r="A3" s="20" t="s">
        <v>53</v>
      </c>
      <c r="B3" s="21">
        <v>8.9849999999999999E-2</v>
      </c>
    </row>
    <row r="4" spans="1:6" x14ac:dyDescent="0.25">
      <c r="A4" s="20" t="s">
        <v>54</v>
      </c>
      <c r="B4" s="22">
        <v>42.67</v>
      </c>
    </row>
    <row r="5" spans="1:6" x14ac:dyDescent="0.25">
      <c r="A5" s="20" t="s">
        <v>91</v>
      </c>
      <c r="B5" s="23">
        <v>667798</v>
      </c>
    </row>
    <row r="6" spans="1:6" x14ac:dyDescent="0.25">
      <c r="A6" s="20" t="s">
        <v>56</v>
      </c>
      <c r="B6" s="23">
        <v>653637</v>
      </c>
    </row>
    <row r="7" spans="1:6" x14ac:dyDescent="0.25">
      <c r="A7" s="20" t="s">
        <v>57</v>
      </c>
      <c r="B7" s="23">
        <v>12764</v>
      </c>
    </row>
    <row r="8" spans="1:6" x14ac:dyDescent="0.25">
      <c r="A8" s="20" t="s">
        <v>58</v>
      </c>
      <c r="B8" s="23">
        <v>1397</v>
      </c>
    </row>
    <row r="9" spans="1:6" x14ac:dyDescent="0.25">
      <c r="A9" s="20" t="s">
        <v>59</v>
      </c>
      <c r="B9" s="23">
        <v>5794029158</v>
      </c>
    </row>
    <row r="10" spans="1:6" x14ac:dyDescent="0.25">
      <c r="A10" s="20" t="s">
        <v>60</v>
      </c>
      <c r="B10" s="23">
        <v>8676.2999999999993</v>
      </c>
    </row>
    <row r="11" spans="1:6" x14ac:dyDescent="0.25">
      <c r="A11" s="20" t="s">
        <v>61</v>
      </c>
      <c r="B11" s="23">
        <v>73</v>
      </c>
    </row>
    <row r="12" spans="1:6" x14ac:dyDescent="0.25">
      <c r="A12" s="20" t="s">
        <v>62</v>
      </c>
      <c r="B12" s="23">
        <v>426</v>
      </c>
    </row>
    <row r="13" spans="1:6" x14ac:dyDescent="0.25">
      <c r="A13" s="20" t="s">
        <v>63</v>
      </c>
      <c r="B13" s="23">
        <v>579</v>
      </c>
    </row>
    <row r="14" spans="1:6" x14ac:dyDescent="0.25">
      <c r="A14" s="20" t="s">
        <v>64</v>
      </c>
      <c r="B14" s="21">
        <v>0.53369999999999995</v>
      </c>
    </row>
    <row r="16" spans="1:6" x14ac:dyDescent="0.25">
      <c r="A16" s="46" t="s">
        <v>65</v>
      </c>
      <c r="B16" s="43"/>
      <c r="C16" s="43"/>
      <c r="D16" s="2">
        <f>0.05/60</f>
        <v>8.3333333333333339E-4</v>
      </c>
    </row>
    <row r="18" spans="1:12" ht="30" customHeight="1" x14ac:dyDescent="0.25">
      <c r="A18" s="3" t="s">
        <v>66</v>
      </c>
      <c r="B18" s="3" t="s">
        <v>67</v>
      </c>
      <c r="C18" s="3" t="s">
        <v>68</v>
      </c>
      <c r="D18" s="3" t="s">
        <v>12</v>
      </c>
      <c r="E18" s="3" t="s">
        <v>69</v>
      </c>
      <c r="F18" s="3" t="s">
        <v>70</v>
      </c>
      <c r="G18" s="3" t="s">
        <v>71</v>
      </c>
      <c r="H18" s="3" t="s">
        <v>72</v>
      </c>
      <c r="I18" s="3" t="s">
        <v>73</v>
      </c>
      <c r="J18" s="3" t="s">
        <v>74</v>
      </c>
      <c r="K18" s="3" t="s">
        <v>75</v>
      </c>
      <c r="L18" s="3" t="s">
        <v>14</v>
      </c>
    </row>
    <row r="19" spans="1:12" x14ac:dyDescent="0.25">
      <c r="A19" s="24" t="s">
        <v>76</v>
      </c>
      <c r="B19" s="24" t="s">
        <v>77</v>
      </c>
      <c r="C19" s="25">
        <v>579</v>
      </c>
      <c r="D19" s="6">
        <v>0.53369999999999995</v>
      </c>
      <c r="E19" s="6">
        <v>0.4819</v>
      </c>
      <c r="F19" s="26">
        <f t="shared" ref="F19:F24" si="0">(E19-D19)*100</f>
        <v>-5.1799999999999962</v>
      </c>
      <c r="G19" s="6">
        <v>0.51490000000000002</v>
      </c>
      <c r="H19" s="6">
        <v>0.50980000000000003</v>
      </c>
      <c r="I19" s="27">
        <v>0.49919999999999998</v>
      </c>
      <c r="J19" s="10">
        <v>1.391968278005699E-2</v>
      </c>
      <c r="K19" s="28" t="str">
        <f t="shared" ref="K19:K24" si="1">IF(J19&lt;0.05,"Sim","Não")</f>
        <v>Sim</v>
      </c>
      <c r="L19" s="29" t="str">
        <f t="shared" ref="L19:L24" si="2">IF(J19&lt;$D$16,"Sim","Não")</f>
        <v>Não</v>
      </c>
    </row>
    <row r="20" spans="1:12" x14ac:dyDescent="0.25">
      <c r="A20" s="30" t="s">
        <v>76</v>
      </c>
      <c r="B20" s="30" t="s">
        <v>78</v>
      </c>
      <c r="C20" s="31">
        <v>579</v>
      </c>
      <c r="D20" s="14">
        <v>0.53369999999999995</v>
      </c>
      <c r="E20" s="14">
        <v>0.48699999999999999</v>
      </c>
      <c r="F20" s="32">
        <f t="shared" si="0"/>
        <v>-4.6699999999999964</v>
      </c>
      <c r="G20" s="14">
        <v>0.52029999999999998</v>
      </c>
      <c r="H20" s="14">
        <v>0.5091</v>
      </c>
      <c r="I20" s="33">
        <v>0.46789999999999998</v>
      </c>
      <c r="J20" s="18">
        <v>2.718439754703092E-2</v>
      </c>
      <c r="K20" s="34" t="str">
        <f t="shared" si="1"/>
        <v>Sim</v>
      </c>
      <c r="L20" s="35" t="str">
        <f t="shared" si="2"/>
        <v>Não</v>
      </c>
    </row>
    <row r="21" spans="1:12" x14ac:dyDescent="0.25">
      <c r="A21" s="24" t="s">
        <v>79</v>
      </c>
      <c r="B21" s="24" t="s">
        <v>77</v>
      </c>
      <c r="C21" s="25">
        <v>579</v>
      </c>
      <c r="D21" s="6">
        <v>0.53369999999999995</v>
      </c>
      <c r="E21" s="6">
        <v>0.49569999999999997</v>
      </c>
      <c r="F21" s="26">
        <f t="shared" si="0"/>
        <v>-3.799999999999998</v>
      </c>
      <c r="G21" s="6">
        <v>0.5323</v>
      </c>
      <c r="H21" s="6">
        <v>0.48949999999999999</v>
      </c>
      <c r="I21" s="27">
        <v>0.48499999999999999</v>
      </c>
      <c r="J21" s="10">
        <v>7.3186833862332046E-2</v>
      </c>
      <c r="K21" s="28" t="str">
        <f t="shared" si="1"/>
        <v>Não</v>
      </c>
      <c r="L21" s="29" t="str">
        <f t="shared" si="2"/>
        <v>Não</v>
      </c>
    </row>
    <row r="22" spans="1:12" x14ac:dyDescent="0.25">
      <c r="A22" s="30" t="s">
        <v>79</v>
      </c>
      <c r="B22" s="30" t="s">
        <v>78</v>
      </c>
      <c r="C22" s="31">
        <v>579</v>
      </c>
      <c r="D22" s="14">
        <v>0.53369999999999995</v>
      </c>
      <c r="E22" s="14">
        <v>0.51119999999999999</v>
      </c>
      <c r="F22" s="32">
        <f t="shared" si="0"/>
        <v>-2.2499999999999964</v>
      </c>
      <c r="G22" s="14">
        <v>0.54849999999999999</v>
      </c>
      <c r="H22" s="14">
        <v>0.50949999999999995</v>
      </c>
      <c r="I22" s="33">
        <v>0.49440000000000001</v>
      </c>
      <c r="J22" s="18">
        <v>0.27918608125425409</v>
      </c>
      <c r="K22" s="34" t="str">
        <f t="shared" si="1"/>
        <v>Não</v>
      </c>
      <c r="L22" s="35" t="str">
        <f t="shared" si="2"/>
        <v>Não</v>
      </c>
    </row>
    <row r="23" spans="1:12" x14ac:dyDescent="0.25">
      <c r="A23" s="24" t="s">
        <v>80</v>
      </c>
      <c r="B23" s="24" t="s">
        <v>77</v>
      </c>
      <c r="C23" s="25">
        <v>579</v>
      </c>
      <c r="D23" s="6">
        <v>0.53369999999999995</v>
      </c>
      <c r="E23" s="6">
        <v>0.51470000000000005</v>
      </c>
      <c r="F23" s="26">
        <f t="shared" si="0"/>
        <v>-1.8999999999999906</v>
      </c>
      <c r="G23" s="6">
        <v>0.54349999999999998</v>
      </c>
      <c r="H23" s="6">
        <v>0.55469999999999997</v>
      </c>
      <c r="I23" s="27">
        <v>0.49159999999999998</v>
      </c>
      <c r="J23" s="10">
        <v>0.35985972603699501</v>
      </c>
      <c r="K23" s="28" t="str">
        <f t="shared" si="1"/>
        <v>Não</v>
      </c>
      <c r="L23" s="29" t="str">
        <f t="shared" si="2"/>
        <v>Não</v>
      </c>
    </row>
    <row r="24" spans="1:12" x14ac:dyDescent="0.25">
      <c r="A24" s="30" t="s">
        <v>80</v>
      </c>
      <c r="B24" s="30" t="s">
        <v>78</v>
      </c>
      <c r="C24" s="31">
        <v>579</v>
      </c>
      <c r="D24" s="14">
        <v>0.53369999999999995</v>
      </c>
      <c r="E24" s="14">
        <v>0.49049999999999999</v>
      </c>
      <c r="F24" s="32">
        <f t="shared" si="0"/>
        <v>-4.3199999999999958</v>
      </c>
      <c r="G24" s="14">
        <v>0.52690000000000003</v>
      </c>
      <c r="H24" s="14">
        <v>0.48149999999999998</v>
      </c>
      <c r="I24" s="33">
        <v>0.49530000000000002</v>
      </c>
      <c r="J24" s="18">
        <v>4.1156925950927251E-2</v>
      </c>
      <c r="K24" s="34" t="str">
        <f t="shared" si="1"/>
        <v>Sim</v>
      </c>
      <c r="L24" s="35" t="str">
        <f t="shared" si="2"/>
        <v>Não</v>
      </c>
    </row>
    <row r="26" spans="1:12" ht="30" customHeight="1" x14ac:dyDescent="0.25">
      <c r="A26" s="3" t="s">
        <v>81</v>
      </c>
      <c r="B26" s="3" t="s">
        <v>67</v>
      </c>
      <c r="C26" s="3" t="s">
        <v>82</v>
      </c>
      <c r="D26" s="3" t="s">
        <v>83</v>
      </c>
      <c r="E26" s="3" t="s">
        <v>84</v>
      </c>
      <c r="F26" s="3" t="s">
        <v>85</v>
      </c>
    </row>
    <row r="27" spans="1:12" x14ac:dyDescent="0.25">
      <c r="A27" s="24" t="s">
        <v>86</v>
      </c>
      <c r="B27" s="24" t="s">
        <v>77</v>
      </c>
      <c r="C27" s="36">
        <v>83</v>
      </c>
      <c r="D27" s="36">
        <v>64</v>
      </c>
      <c r="E27" s="37">
        <v>0.13737776624912409</v>
      </c>
      <c r="F27" s="38" t="str">
        <f t="shared" ref="F27:F32" si="3">IF(E27&lt;0.05,"Sim","Não")</f>
        <v>Não</v>
      </c>
    </row>
    <row r="28" spans="1:12" x14ac:dyDescent="0.25">
      <c r="A28" s="30" t="s">
        <v>86</v>
      </c>
      <c r="B28" s="30" t="s">
        <v>78</v>
      </c>
      <c r="C28" s="39">
        <v>52</v>
      </c>
      <c r="D28" s="39">
        <v>50</v>
      </c>
      <c r="E28" s="40">
        <v>0.92119104925387219</v>
      </c>
      <c r="F28" s="41" t="str">
        <f t="shared" si="3"/>
        <v>Não</v>
      </c>
    </row>
    <row r="29" spans="1:12" x14ac:dyDescent="0.25">
      <c r="A29" s="24" t="s">
        <v>87</v>
      </c>
      <c r="B29" s="24" t="s">
        <v>77</v>
      </c>
      <c r="C29" s="36">
        <v>41</v>
      </c>
      <c r="D29" s="36">
        <v>33</v>
      </c>
      <c r="E29" s="37">
        <v>0.41598519750730462</v>
      </c>
      <c r="F29" s="38" t="str">
        <f t="shared" si="3"/>
        <v>Não</v>
      </c>
    </row>
    <row r="30" spans="1:12" x14ac:dyDescent="0.25">
      <c r="A30" s="30" t="s">
        <v>87</v>
      </c>
      <c r="B30" s="30" t="s">
        <v>78</v>
      </c>
      <c r="C30" s="39">
        <v>65</v>
      </c>
      <c r="D30" s="39">
        <v>51</v>
      </c>
      <c r="E30" s="40">
        <v>0.22727494633160841</v>
      </c>
      <c r="F30" s="41" t="str">
        <f t="shared" si="3"/>
        <v>Não</v>
      </c>
    </row>
    <row r="31" spans="1:12" x14ac:dyDescent="0.25">
      <c r="A31" s="24" t="s">
        <v>88</v>
      </c>
      <c r="B31" s="24" t="s">
        <v>77</v>
      </c>
      <c r="C31" s="36">
        <v>61</v>
      </c>
      <c r="D31" s="36">
        <v>50</v>
      </c>
      <c r="E31" s="37">
        <v>0.34258058257189872</v>
      </c>
      <c r="F31" s="38" t="str">
        <f t="shared" si="3"/>
        <v>Não</v>
      </c>
    </row>
    <row r="32" spans="1:12" x14ac:dyDescent="0.25">
      <c r="A32" s="30" t="s">
        <v>88</v>
      </c>
      <c r="B32" s="30" t="s">
        <v>78</v>
      </c>
      <c r="C32" s="39">
        <v>19</v>
      </c>
      <c r="D32" s="39">
        <v>31</v>
      </c>
      <c r="E32" s="40">
        <v>0.1189204525594363</v>
      </c>
      <c r="F32" s="41" t="str">
        <f t="shared" si="3"/>
        <v>Não</v>
      </c>
    </row>
    <row r="34" spans="1:12" ht="45.95" customHeight="1" x14ac:dyDescent="0.25">
      <c r="A34" s="42" t="s">
        <v>89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</row>
  </sheetData>
  <mergeCells count="3">
    <mergeCell ref="A1:F1"/>
    <mergeCell ref="A16:C16"/>
    <mergeCell ref="A34:L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4"/>
  <sheetViews>
    <sheetView workbookViewId="0"/>
  </sheetViews>
  <sheetFormatPr defaultRowHeight="15" x14ac:dyDescent="0.25"/>
  <cols>
    <col min="1" max="1" width="42" customWidth="1"/>
    <col min="2" max="2" width="10" customWidth="1"/>
    <col min="3" max="4" width="9" customWidth="1"/>
    <col min="5" max="5" width="10" customWidth="1"/>
    <col min="6" max="6" width="12" customWidth="1"/>
    <col min="7" max="7" width="10" customWidth="1"/>
    <col min="8" max="8" width="9" customWidth="1"/>
    <col min="9" max="9" width="8" customWidth="1"/>
    <col min="10" max="11" width="10" customWidth="1"/>
    <col min="12" max="12" width="11" customWidth="1"/>
  </cols>
  <sheetData>
    <row r="1" spans="1:6" ht="18" x14ac:dyDescent="0.25">
      <c r="A1" s="45" t="s">
        <v>92</v>
      </c>
      <c r="B1" s="43"/>
      <c r="C1" s="43"/>
      <c r="D1" s="43"/>
      <c r="E1" s="43"/>
      <c r="F1" s="43"/>
    </row>
    <row r="3" spans="1:6" x14ac:dyDescent="0.25">
      <c r="A3" s="20" t="s">
        <v>53</v>
      </c>
      <c r="B3" s="21">
        <v>8.3699999999999997E-2</v>
      </c>
    </row>
    <row r="4" spans="1:6" x14ac:dyDescent="0.25">
      <c r="A4" s="20" t="s">
        <v>54</v>
      </c>
      <c r="B4" s="22">
        <v>50.43</v>
      </c>
    </row>
    <row r="5" spans="1:6" x14ac:dyDescent="0.25">
      <c r="A5" s="20" t="s">
        <v>93</v>
      </c>
      <c r="B5" s="23">
        <v>1183775</v>
      </c>
    </row>
    <row r="6" spans="1:6" x14ac:dyDescent="0.25">
      <c r="A6" s="20" t="s">
        <v>56</v>
      </c>
      <c r="B6" s="23">
        <v>1175160</v>
      </c>
    </row>
    <row r="7" spans="1:6" x14ac:dyDescent="0.25">
      <c r="A7" s="20" t="s">
        <v>57</v>
      </c>
      <c r="B7" s="23">
        <v>5987</v>
      </c>
    </row>
    <row r="8" spans="1:6" x14ac:dyDescent="0.25">
      <c r="A8" s="20" t="s">
        <v>58</v>
      </c>
      <c r="B8" s="23">
        <v>2628</v>
      </c>
    </row>
    <row r="9" spans="1:6" x14ac:dyDescent="0.25">
      <c r="A9" s="20" t="s">
        <v>59</v>
      </c>
      <c r="B9" s="23">
        <v>7889437525</v>
      </c>
    </row>
    <row r="10" spans="1:6" x14ac:dyDescent="0.25">
      <c r="A10" s="20" t="s">
        <v>60</v>
      </c>
      <c r="B10" s="23">
        <v>6664.6</v>
      </c>
    </row>
    <row r="11" spans="1:6" x14ac:dyDescent="0.25">
      <c r="A11" s="20" t="s">
        <v>61</v>
      </c>
      <c r="B11" s="23">
        <v>377</v>
      </c>
    </row>
    <row r="12" spans="1:6" x14ac:dyDescent="0.25">
      <c r="A12" s="20" t="s">
        <v>62</v>
      </c>
      <c r="B12" s="23">
        <v>1344</v>
      </c>
    </row>
    <row r="13" spans="1:6" x14ac:dyDescent="0.25">
      <c r="A13" s="20" t="s">
        <v>63</v>
      </c>
      <c r="B13" s="23">
        <v>579</v>
      </c>
    </row>
    <row r="14" spans="1:6" x14ac:dyDescent="0.25">
      <c r="A14" s="20" t="s">
        <v>64</v>
      </c>
      <c r="B14" s="21">
        <v>0.53200000000000003</v>
      </c>
    </row>
    <row r="16" spans="1:6" x14ac:dyDescent="0.25">
      <c r="A16" s="46" t="s">
        <v>65</v>
      </c>
      <c r="B16" s="43"/>
      <c r="C16" s="43"/>
      <c r="D16" s="2">
        <f>0.05/60</f>
        <v>8.3333333333333339E-4</v>
      </c>
    </row>
    <row r="18" spans="1:12" ht="30" customHeight="1" x14ac:dyDescent="0.25">
      <c r="A18" s="3" t="s">
        <v>66</v>
      </c>
      <c r="B18" s="3" t="s">
        <v>67</v>
      </c>
      <c r="C18" s="3" t="s">
        <v>68</v>
      </c>
      <c r="D18" s="3" t="s">
        <v>12</v>
      </c>
      <c r="E18" s="3" t="s">
        <v>69</v>
      </c>
      <c r="F18" s="3" t="s">
        <v>70</v>
      </c>
      <c r="G18" s="3" t="s">
        <v>71</v>
      </c>
      <c r="H18" s="3" t="s">
        <v>72</v>
      </c>
      <c r="I18" s="3" t="s">
        <v>73</v>
      </c>
      <c r="J18" s="3" t="s">
        <v>74</v>
      </c>
      <c r="K18" s="3" t="s">
        <v>75</v>
      </c>
      <c r="L18" s="3" t="s">
        <v>14</v>
      </c>
    </row>
    <row r="19" spans="1:12" x14ac:dyDescent="0.25">
      <c r="A19" s="24" t="s">
        <v>76</v>
      </c>
      <c r="B19" s="24" t="s">
        <v>77</v>
      </c>
      <c r="C19" s="25">
        <v>579</v>
      </c>
      <c r="D19" s="6">
        <v>0.53200000000000003</v>
      </c>
      <c r="E19" s="6">
        <v>0.5181</v>
      </c>
      <c r="F19" s="26">
        <f t="shared" ref="F19:F24" si="0">(E19-D19)*100</f>
        <v>-1.3900000000000023</v>
      </c>
      <c r="G19" s="6">
        <v>0.5262</v>
      </c>
      <c r="H19" s="6">
        <v>0.67600000000000005</v>
      </c>
      <c r="I19" s="27">
        <v>0.504</v>
      </c>
      <c r="J19" s="10">
        <v>0.50558274331759456</v>
      </c>
      <c r="K19" s="28" t="str">
        <f t="shared" ref="K19:K24" si="1">IF(J19&lt;0.05,"Sim","Não")</f>
        <v>Não</v>
      </c>
      <c r="L19" s="29" t="str">
        <f t="shared" ref="L19:L24" si="2">IF(J19&lt;$D$16,"Sim","Não")</f>
        <v>Não</v>
      </c>
    </row>
    <row r="20" spans="1:12" x14ac:dyDescent="0.25">
      <c r="A20" s="30" t="s">
        <v>76</v>
      </c>
      <c r="B20" s="30" t="s">
        <v>78</v>
      </c>
      <c r="C20" s="31">
        <v>579</v>
      </c>
      <c r="D20" s="14">
        <v>0.53200000000000003</v>
      </c>
      <c r="E20" s="14">
        <v>0.5181</v>
      </c>
      <c r="F20" s="32">
        <f t="shared" si="0"/>
        <v>-1.3900000000000023</v>
      </c>
      <c r="G20" s="14">
        <v>0.54790000000000005</v>
      </c>
      <c r="H20" s="14">
        <v>0.54339999999999999</v>
      </c>
      <c r="I20" s="33">
        <v>0.51570000000000005</v>
      </c>
      <c r="J20" s="18">
        <v>0.50558274331759456</v>
      </c>
      <c r="K20" s="34" t="str">
        <f t="shared" si="1"/>
        <v>Não</v>
      </c>
      <c r="L20" s="35" t="str">
        <f t="shared" si="2"/>
        <v>Não</v>
      </c>
    </row>
    <row r="21" spans="1:12" x14ac:dyDescent="0.25">
      <c r="A21" s="24" t="s">
        <v>79</v>
      </c>
      <c r="B21" s="24" t="s">
        <v>77</v>
      </c>
      <c r="C21" s="25">
        <v>579</v>
      </c>
      <c r="D21" s="6">
        <v>0.53200000000000003</v>
      </c>
      <c r="E21" s="6">
        <v>0.52329999999999999</v>
      </c>
      <c r="F21" s="26">
        <f t="shared" si="0"/>
        <v>-0.8700000000000041</v>
      </c>
      <c r="G21" s="6">
        <v>0.52869999999999995</v>
      </c>
      <c r="H21" s="6">
        <v>0.68130000000000002</v>
      </c>
      <c r="I21" s="27">
        <v>0.51859999999999995</v>
      </c>
      <c r="J21" s="10">
        <v>0.67735885721241074</v>
      </c>
      <c r="K21" s="28" t="str">
        <f t="shared" si="1"/>
        <v>Não</v>
      </c>
      <c r="L21" s="29" t="str">
        <f t="shared" si="2"/>
        <v>Não</v>
      </c>
    </row>
    <row r="22" spans="1:12" x14ac:dyDescent="0.25">
      <c r="A22" s="30" t="s">
        <v>79</v>
      </c>
      <c r="B22" s="30" t="s">
        <v>78</v>
      </c>
      <c r="C22" s="31">
        <v>579</v>
      </c>
      <c r="D22" s="14">
        <v>0.53200000000000003</v>
      </c>
      <c r="E22" s="14">
        <v>0.50090000000000001</v>
      </c>
      <c r="F22" s="32">
        <f t="shared" si="0"/>
        <v>-3.1100000000000017</v>
      </c>
      <c r="G22" s="14">
        <v>0.5262</v>
      </c>
      <c r="H22" s="14">
        <v>0.56930000000000003</v>
      </c>
      <c r="I22" s="33">
        <v>0.48620000000000002</v>
      </c>
      <c r="J22" s="18">
        <v>0.13408421142349661</v>
      </c>
      <c r="K22" s="34" t="str">
        <f t="shared" si="1"/>
        <v>Não</v>
      </c>
      <c r="L22" s="35" t="str">
        <f t="shared" si="2"/>
        <v>Não</v>
      </c>
    </row>
    <row r="23" spans="1:12" x14ac:dyDescent="0.25">
      <c r="A23" s="24" t="s">
        <v>80</v>
      </c>
      <c r="B23" s="24" t="s">
        <v>77</v>
      </c>
      <c r="C23" s="25">
        <v>579</v>
      </c>
      <c r="D23" s="6">
        <v>0.53200000000000003</v>
      </c>
      <c r="E23" s="6">
        <v>0.52329999999999999</v>
      </c>
      <c r="F23" s="26">
        <f t="shared" si="0"/>
        <v>-0.8700000000000041</v>
      </c>
      <c r="G23" s="6">
        <v>0.52929999999999999</v>
      </c>
      <c r="H23" s="6">
        <v>0.67679999999999996</v>
      </c>
      <c r="I23" s="27">
        <v>0.47299999999999998</v>
      </c>
      <c r="J23" s="10">
        <v>0.67735885721241074</v>
      </c>
      <c r="K23" s="28" t="str">
        <f t="shared" si="1"/>
        <v>Não</v>
      </c>
      <c r="L23" s="29" t="str">
        <f t="shared" si="2"/>
        <v>Não</v>
      </c>
    </row>
    <row r="24" spans="1:12" x14ac:dyDescent="0.25">
      <c r="A24" s="30" t="s">
        <v>80</v>
      </c>
      <c r="B24" s="30" t="s">
        <v>78</v>
      </c>
      <c r="C24" s="31">
        <v>579</v>
      </c>
      <c r="D24" s="14">
        <v>0.53200000000000003</v>
      </c>
      <c r="E24" s="14">
        <v>0.51470000000000005</v>
      </c>
      <c r="F24" s="32">
        <f t="shared" si="0"/>
        <v>-1.7299999999999982</v>
      </c>
      <c r="G24" s="14">
        <v>0.53349999999999997</v>
      </c>
      <c r="H24" s="14">
        <v>0.6048</v>
      </c>
      <c r="I24" s="33">
        <v>0.50570000000000004</v>
      </c>
      <c r="J24" s="18">
        <v>0.40530340032277062</v>
      </c>
      <c r="K24" s="34" t="str">
        <f t="shared" si="1"/>
        <v>Não</v>
      </c>
      <c r="L24" s="35" t="str">
        <f t="shared" si="2"/>
        <v>Não</v>
      </c>
    </row>
    <row r="26" spans="1:12" ht="30" customHeight="1" x14ac:dyDescent="0.25">
      <c r="A26" s="3" t="s">
        <v>81</v>
      </c>
      <c r="B26" s="3" t="s">
        <v>67</v>
      </c>
      <c r="C26" s="3" t="s">
        <v>82</v>
      </c>
      <c r="D26" s="3" t="s">
        <v>83</v>
      </c>
      <c r="E26" s="3" t="s">
        <v>84</v>
      </c>
      <c r="F26" s="3" t="s">
        <v>85</v>
      </c>
    </row>
    <row r="27" spans="1:12" x14ac:dyDescent="0.25">
      <c r="A27" s="24" t="s">
        <v>86</v>
      </c>
      <c r="B27" s="24" t="s">
        <v>77</v>
      </c>
      <c r="C27" s="36">
        <v>29</v>
      </c>
      <c r="D27" s="36">
        <v>26</v>
      </c>
      <c r="E27" s="37">
        <v>0.78770618967004313</v>
      </c>
      <c r="F27" s="38" t="str">
        <f t="shared" ref="F27:F32" si="3">IF(E27&lt;0.05,"Sim","Não")</f>
        <v>Não</v>
      </c>
    </row>
    <row r="28" spans="1:12" x14ac:dyDescent="0.25">
      <c r="A28" s="30" t="s">
        <v>86</v>
      </c>
      <c r="B28" s="30" t="s">
        <v>78</v>
      </c>
      <c r="C28" s="39">
        <v>74</v>
      </c>
      <c r="D28" s="39">
        <v>76</v>
      </c>
      <c r="E28" s="40">
        <v>0.93496148551432012</v>
      </c>
      <c r="F28" s="41" t="str">
        <f t="shared" si="3"/>
        <v>Não</v>
      </c>
    </row>
    <row r="29" spans="1:12" x14ac:dyDescent="0.25">
      <c r="A29" s="24" t="s">
        <v>87</v>
      </c>
      <c r="B29" s="24" t="s">
        <v>77</v>
      </c>
      <c r="C29" s="36">
        <v>20</v>
      </c>
      <c r="D29" s="36">
        <v>17</v>
      </c>
      <c r="E29" s="37">
        <v>0.74282935872906819</v>
      </c>
      <c r="F29" s="38" t="str">
        <f t="shared" si="3"/>
        <v>Não</v>
      </c>
    </row>
    <row r="30" spans="1:12" x14ac:dyDescent="0.25">
      <c r="A30" s="30" t="s">
        <v>87</v>
      </c>
      <c r="B30" s="30" t="s">
        <v>78</v>
      </c>
      <c r="C30" s="39">
        <v>72</v>
      </c>
      <c r="D30" s="39">
        <v>82</v>
      </c>
      <c r="E30" s="40">
        <v>0.4684207778527702</v>
      </c>
      <c r="F30" s="41" t="str">
        <f t="shared" si="3"/>
        <v>Não</v>
      </c>
    </row>
    <row r="31" spans="1:12" x14ac:dyDescent="0.25">
      <c r="A31" s="24" t="s">
        <v>88</v>
      </c>
      <c r="B31" s="24" t="s">
        <v>77</v>
      </c>
      <c r="C31" s="36">
        <v>23</v>
      </c>
      <c r="D31" s="36">
        <v>23</v>
      </c>
      <c r="E31" s="37">
        <v>1</v>
      </c>
      <c r="F31" s="38" t="str">
        <f t="shared" si="3"/>
        <v>Não</v>
      </c>
    </row>
    <row r="32" spans="1:12" x14ac:dyDescent="0.25">
      <c r="A32" s="30" t="s">
        <v>88</v>
      </c>
      <c r="B32" s="30" t="s">
        <v>78</v>
      </c>
      <c r="C32" s="39">
        <v>50</v>
      </c>
      <c r="D32" s="39">
        <v>42</v>
      </c>
      <c r="E32" s="40">
        <v>0.46570744577306189</v>
      </c>
      <c r="F32" s="41" t="str">
        <f t="shared" si="3"/>
        <v>Não</v>
      </c>
    </row>
    <row r="34" spans="1:12" ht="45.95" customHeight="1" x14ac:dyDescent="0.25">
      <c r="A34" s="42" t="s">
        <v>89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</row>
  </sheetData>
  <mergeCells count="3">
    <mergeCell ref="A1:F1"/>
    <mergeCell ref="A16:C16"/>
    <mergeCell ref="A34:L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4"/>
  <sheetViews>
    <sheetView workbookViewId="0"/>
  </sheetViews>
  <sheetFormatPr defaultRowHeight="15" x14ac:dyDescent="0.25"/>
  <cols>
    <col min="1" max="1" width="42" customWidth="1"/>
    <col min="2" max="2" width="10" customWidth="1"/>
    <col min="3" max="4" width="9" customWidth="1"/>
    <col min="5" max="5" width="10" customWidth="1"/>
    <col min="6" max="6" width="12" customWidth="1"/>
    <col min="7" max="7" width="10" customWidth="1"/>
    <col min="8" max="8" width="9" customWidth="1"/>
    <col min="9" max="9" width="8" customWidth="1"/>
    <col min="10" max="11" width="10" customWidth="1"/>
    <col min="12" max="12" width="11" customWidth="1"/>
  </cols>
  <sheetData>
    <row r="1" spans="1:6" ht="18" x14ac:dyDescent="0.25">
      <c r="A1" s="45" t="s">
        <v>94</v>
      </c>
      <c r="B1" s="43"/>
      <c r="C1" s="43"/>
      <c r="D1" s="43"/>
      <c r="E1" s="43"/>
      <c r="F1" s="43"/>
    </row>
    <row r="3" spans="1:6" x14ac:dyDescent="0.25">
      <c r="A3" s="20" t="s">
        <v>53</v>
      </c>
      <c r="B3" s="21">
        <v>3.6949999999999997E-2</v>
      </c>
    </row>
    <row r="4" spans="1:6" x14ac:dyDescent="0.25">
      <c r="A4" s="20" t="s">
        <v>54</v>
      </c>
      <c r="B4" s="22">
        <v>26.93</v>
      </c>
    </row>
    <row r="5" spans="1:6" x14ac:dyDescent="0.25">
      <c r="A5" s="20" t="s">
        <v>95</v>
      </c>
      <c r="B5" s="23">
        <v>60606</v>
      </c>
    </row>
    <row r="6" spans="1:6" x14ac:dyDescent="0.25">
      <c r="A6" s="20" t="s">
        <v>56</v>
      </c>
      <c r="B6" s="23">
        <v>57945</v>
      </c>
    </row>
    <row r="7" spans="1:6" x14ac:dyDescent="0.25">
      <c r="A7" s="20" t="s">
        <v>57</v>
      </c>
      <c r="B7" s="23">
        <v>572</v>
      </c>
    </row>
    <row r="8" spans="1:6" x14ac:dyDescent="0.25">
      <c r="A8" s="20" t="s">
        <v>58</v>
      </c>
      <c r="B8" s="23">
        <v>2089</v>
      </c>
    </row>
    <row r="9" spans="1:6" x14ac:dyDescent="0.25">
      <c r="A9" s="20" t="s">
        <v>59</v>
      </c>
      <c r="B9" s="23">
        <v>3524534026</v>
      </c>
    </row>
    <row r="10" spans="1:6" x14ac:dyDescent="0.25">
      <c r="A10" s="20" t="s">
        <v>60</v>
      </c>
      <c r="B10" s="23">
        <v>58154.9</v>
      </c>
    </row>
    <row r="11" spans="1:6" x14ac:dyDescent="0.25">
      <c r="A11" s="20" t="s">
        <v>61</v>
      </c>
      <c r="B11" s="23">
        <v>104</v>
      </c>
    </row>
    <row r="12" spans="1:6" x14ac:dyDescent="0.25">
      <c r="A12" s="20" t="s">
        <v>62</v>
      </c>
      <c r="B12" s="23">
        <v>397</v>
      </c>
    </row>
    <row r="13" spans="1:6" x14ac:dyDescent="0.25">
      <c r="A13" s="20" t="s">
        <v>63</v>
      </c>
      <c r="B13" s="23">
        <v>579</v>
      </c>
    </row>
    <row r="14" spans="1:6" x14ac:dyDescent="0.25">
      <c r="A14" s="20" t="s">
        <v>64</v>
      </c>
      <c r="B14" s="21">
        <v>0.50780000000000003</v>
      </c>
    </row>
    <row r="16" spans="1:6" x14ac:dyDescent="0.25">
      <c r="A16" s="46" t="s">
        <v>65</v>
      </c>
      <c r="B16" s="43"/>
      <c r="C16" s="43"/>
      <c r="D16" s="2">
        <f>0.05/60</f>
        <v>8.3333333333333339E-4</v>
      </c>
    </row>
    <row r="18" spans="1:12" ht="30" customHeight="1" x14ac:dyDescent="0.25">
      <c r="A18" s="3" t="s">
        <v>66</v>
      </c>
      <c r="B18" s="3" t="s">
        <v>67</v>
      </c>
      <c r="C18" s="3" t="s">
        <v>68</v>
      </c>
      <c r="D18" s="3" t="s">
        <v>12</v>
      </c>
      <c r="E18" s="3" t="s">
        <v>69</v>
      </c>
      <c r="F18" s="3" t="s">
        <v>70</v>
      </c>
      <c r="G18" s="3" t="s">
        <v>71</v>
      </c>
      <c r="H18" s="3" t="s">
        <v>72</v>
      </c>
      <c r="I18" s="3" t="s">
        <v>73</v>
      </c>
      <c r="J18" s="3" t="s">
        <v>74</v>
      </c>
      <c r="K18" s="3" t="s">
        <v>75</v>
      </c>
      <c r="L18" s="3" t="s">
        <v>14</v>
      </c>
    </row>
    <row r="19" spans="1:12" x14ac:dyDescent="0.25">
      <c r="A19" s="24" t="s">
        <v>76</v>
      </c>
      <c r="B19" s="24" t="s">
        <v>77</v>
      </c>
      <c r="C19" s="25">
        <v>579</v>
      </c>
      <c r="D19" s="6">
        <v>0.50780000000000003</v>
      </c>
      <c r="E19" s="6">
        <v>0.49569999999999997</v>
      </c>
      <c r="F19" s="26">
        <f t="shared" ref="F19:F24" si="0">(E19-D19)*100</f>
        <v>-1.2100000000000055</v>
      </c>
      <c r="G19" s="6">
        <v>0.50249999999999995</v>
      </c>
      <c r="H19" s="6">
        <v>0.58289999999999997</v>
      </c>
      <c r="I19" s="27">
        <v>0.49669999999999997</v>
      </c>
      <c r="J19" s="10">
        <v>0.56100674060203348</v>
      </c>
      <c r="K19" s="28" t="str">
        <f t="shared" ref="K19:K24" si="1">IF(J19&lt;0.05,"Sim","Não")</f>
        <v>Não</v>
      </c>
      <c r="L19" s="29" t="str">
        <f t="shared" ref="L19:L24" si="2">IF(J19&lt;$D$16,"Sim","Não")</f>
        <v>Não</v>
      </c>
    </row>
    <row r="20" spans="1:12" x14ac:dyDescent="0.25">
      <c r="A20" s="30" t="s">
        <v>76</v>
      </c>
      <c r="B20" s="30" t="s">
        <v>78</v>
      </c>
      <c r="C20" s="31">
        <v>579</v>
      </c>
      <c r="D20" s="14">
        <v>0.50780000000000003</v>
      </c>
      <c r="E20" s="14">
        <v>0.45600000000000002</v>
      </c>
      <c r="F20" s="32">
        <f t="shared" si="0"/>
        <v>-5.1800000000000015</v>
      </c>
      <c r="G20" s="14">
        <v>0.46970000000000001</v>
      </c>
      <c r="H20" s="14">
        <v>0.50860000000000005</v>
      </c>
      <c r="I20" s="33">
        <v>0.46350000000000002</v>
      </c>
      <c r="J20" s="18">
        <v>1.412657992025184E-2</v>
      </c>
      <c r="K20" s="34" t="str">
        <f t="shared" si="1"/>
        <v>Sim</v>
      </c>
      <c r="L20" s="35" t="str">
        <f t="shared" si="2"/>
        <v>Não</v>
      </c>
    </row>
    <row r="21" spans="1:12" x14ac:dyDescent="0.25">
      <c r="A21" s="24" t="s">
        <v>79</v>
      </c>
      <c r="B21" s="24" t="s">
        <v>77</v>
      </c>
      <c r="C21" s="25">
        <v>579</v>
      </c>
      <c r="D21" s="6">
        <v>0.50780000000000003</v>
      </c>
      <c r="E21" s="6">
        <v>0.51119999999999999</v>
      </c>
      <c r="F21" s="26">
        <f t="shared" si="0"/>
        <v>0.33999999999999586</v>
      </c>
      <c r="G21" s="6">
        <v>0.5121</v>
      </c>
      <c r="H21" s="6">
        <v>0.62119999999999997</v>
      </c>
      <c r="I21" s="27">
        <v>0.49980000000000002</v>
      </c>
      <c r="J21" s="10">
        <v>0.90078236225448549</v>
      </c>
      <c r="K21" s="28" t="str">
        <f t="shared" si="1"/>
        <v>Não</v>
      </c>
      <c r="L21" s="29" t="str">
        <f t="shared" si="2"/>
        <v>Não</v>
      </c>
    </row>
    <row r="22" spans="1:12" x14ac:dyDescent="0.25">
      <c r="A22" s="30" t="s">
        <v>79</v>
      </c>
      <c r="B22" s="30" t="s">
        <v>78</v>
      </c>
      <c r="C22" s="31">
        <v>579</v>
      </c>
      <c r="D22" s="14">
        <v>0.50780000000000003</v>
      </c>
      <c r="E22" s="14">
        <v>0.46460000000000001</v>
      </c>
      <c r="F22" s="32">
        <f t="shared" si="0"/>
        <v>-4.3200000000000021</v>
      </c>
      <c r="G22" s="14">
        <v>0.47770000000000001</v>
      </c>
      <c r="H22" s="14">
        <v>0.52449999999999997</v>
      </c>
      <c r="I22" s="33">
        <v>0.46610000000000001</v>
      </c>
      <c r="J22" s="18">
        <v>4.1595798699306068E-2</v>
      </c>
      <c r="K22" s="34" t="str">
        <f t="shared" si="1"/>
        <v>Sim</v>
      </c>
      <c r="L22" s="35" t="str">
        <f t="shared" si="2"/>
        <v>Não</v>
      </c>
    </row>
    <row r="23" spans="1:12" x14ac:dyDescent="0.25">
      <c r="A23" s="24" t="s">
        <v>80</v>
      </c>
      <c r="B23" s="24" t="s">
        <v>77</v>
      </c>
      <c r="C23" s="25">
        <v>579</v>
      </c>
      <c r="D23" s="6">
        <v>0.50780000000000003</v>
      </c>
      <c r="E23" s="6">
        <v>0.49399999999999999</v>
      </c>
      <c r="F23" s="26">
        <f t="shared" si="0"/>
        <v>-1.3800000000000034</v>
      </c>
      <c r="G23" s="6">
        <v>0.501</v>
      </c>
      <c r="H23" s="6">
        <v>0.62190000000000001</v>
      </c>
      <c r="I23" s="27">
        <v>0.50949999999999995</v>
      </c>
      <c r="J23" s="10">
        <v>0.50643073393185101</v>
      </c>
      <c r="K23" s="28" t="str">
        <f t="shared" si="1"/>
        <v>Não</v>
      </c>
      <c r="L23" s="29" t="str">
        <f t="shared" si="2"/>
        <v>Não</v>
      </c>
    </row>
    <row r="24" spans="1:12" x14ac:dyDescent="0.25">
      <c r="A24" s="30" t="s">
        <v>80</v>
      </c>
      <c r="B24" s="30" t="s">
        <v>78</v>
      </c>
      <c r="C24" s="31">
        <v>579</v>
      </c>
      <c r="D24" s="14">
        <v>0.50780000000000003</v>
      </c>
      <c r="E24" s="14">
        <v>0.4577</v>
      </c>
      <c r="F24" s="32">
        <f t="shared" si="0"/>
        <v>-5.0100000000000033</v>
      </c>
      <c r="G24" s="14">
        <v>0.4708</v>
      </c>
      <c r="H24" s="14">
        <v>0.50629999999999997</v>
      </c>
      <c r="I24" s="33">
        <v>0.44940000000000002</v>
      </c>
      <c r="J24" s="18">
        <v>1.7754264105959011E-2</v>
      </c>
      <c r="K24" s="34" t="str">
        <f t="shared" si="1"/>
        <v>Sim</v>
      </c>
      <c r="L24" s="35" t="str">
        <f t="shared" si="2"/>
        <v>Não</v>
      </c>
    </row>
    <row r="26" spans="1:12" ht="30" customHeight="1" x14ac:dyDescent="0.25">
      <c r="A26" s="3" t="s">
        <v>81</v>
      </c>
      <c r="B26" s="3" t="s">
        <v>67</v>
      </c>
      <c r="C26" s="3" t="s">
        <v>82</v>
      </c>
      <c r="D26" s="3" t="s">
        <v>83</v>
      </c>
      <c r="E26" s="3" t="s">
        <v>84</v>
      </c>
      <c r="F26" s="3" t="s">
        <v>85</v>
      </c>
    </row>
    <row r="27" spans="1:12" x14ac:dyDescent="0.25">
      <c r="A27" s="24" t="s">
        <v>86</v>
      </c>
      <c r="B27" s="24" t="s">
        <v>77</v>
      </c>
      <c r="C27" s="36">
        <v>56</v>
      </c>
      <c r="D27" s="36">
        <v>57</v>
      </c>
      <c r="E27" s="37">
        <v>1</v>
      </c>
      <c r="F27" s="38" t="str">
        <f t="shared" ref="F27:F32" si="3">IF(E27&lt;0.05,"Sim","Não")</f>
        <v>Não</v>
      </c>
    </row>
    <row r="28" spans="1:12" x14ac:dyDescent="0.25">
      <c r="A28" s="30" t="s">
        <v>86</v>
      </c>
      <c r="B28" s="30" t="s">
        <v>78</v>
      </c>
      <c r="C28" s="39">
        <v>40</v>
      </c>
      <c r="D28" s="39">
        <v>39</v>
      </c>
      <c r="E28" s="40">
        <v>1</v>
      </c>
      <c r="F28" s="41" t="str">
        <f t="shared" si="3"/>
        <v>Não</v>
      </c>
    </row>
    <row r="29" spans="1:12" x14ac:dyDescent="0.25">
      <c r="A29" s="24" t="s">
        <v>87</v>
      </c>
      <c r="B29" s="24" t="s">
        <v>77</v>
      </c>
      <c r="C29" s="36">
        <v>55</v>
      </c>
      <c r="D29" s="36">
        <v>46</v>
      </c>
      <c r="E29" s="37">
        <v>0.42616001546699389</v>
      </c>
      <c r="F29" s="38" t="str">
        <f t="shared" si="3"/>
        <v>Não</v>
      </c>
    </row>
    <row r="30" spans="1:12" x14ac:dyDescent="0.25">
      <c r="A30" s="30" t="s">
        <v>87</v>
      </c>
      <c r="B30" s="30" t="s">
        <v>78</v>
      </c>
      <c r="C30" s="39">
        <v>47</v>
      </c>
      <c r="D30" s="39">
        <v>42</v>
      </c>
      <c r="E30" s="40">
        <v>0.67180864917461025</v>
      </c>
      <c r="F30" s="41" t="str">
        <f t="shared" si="3"/>
        <v>Não</v>
      </c>
    </row>
    <row r="31" spans="1:12" x14ac:dyDescent="0.25">
      <c r="A31" s="24" t="s">
        <v>88</v>
      </c>
      <c r="B31" s="24" t="s">
        <v>77</v>
      </c>
      <c r="C31" s="36">
        <v>32</v>
      </c>
      <c r="D31" s="36">
        <v>42</v>
      </c>
      <c r="E31" s="37">
        <v>0.29541328065567002</v>
      </c>
      <c r="F31" s="38" t="str">
        <f t="shared" si="3"/>
        <v>Não</v>
      </c>
    </row>
    <row r="32" spans="1:12" x14ac:dyDescent="0.25">
      <c r="A32" s="30" t="s">
        <v>88</v>
      </c>
      <c r="B32" s="30" t="s">
        <v>78</v>
      </c>
      <c r="C32" s="39">
        <v>32</v>
      </c>
      <c r="D32" s="39">
        <v>36</v>
      </c>
      <c r="E32" s="40">
        <v>0.71630076015433697</v>
      </c>
      <c r="F32" s="41" t="str">
        <f t="shared" si="3"/>
        <v>Não</v>
      </c>
    </row>
    <row r="34" spans="1:12" ht="45.95" customHeight="1" x14ac:dyDescent="0.25">
      <c r="A34" s="42" t="s">
        <v>89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</row>
  </sheetData>
  <mergeCells count="3">
    <mergeCell ref="A1:F1"/>
    <mergeCell ref="A16:C16"/>
    <mergeCell ref="A34:L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4"/>
  <sheetViews>
    <sheetView workbookViewId="0"/>
  </sheetViews>
  <sheetFormatPr defaultRowHeight="15" x14ac:dyDescent="0.25"/>
  <cols>
    <col min="1" max="1" width="42" customWidth="1"/>
    <col min="2" max="2" width="10" customWidth="1"/>
    <col min="3" max="4" width="9" customWidth="1"/>
    <col min="5" max="5" width="10" customWidth="1"/>
    <col min="6" max="6" width="12" customWidth="1"/>
    <col min="7" max="7" width="10" customWidth="1"/>
    <col min="8" max="8" width="9" customWidth="1"/>
    <col min="9" max="9" width="8" customWidth="1"/>
    <col min="10" max="11" width="10" customWidth="1"/>
    <col min="12" max="12" width="11" customWidth="1"/>
  </cols>
  <sheetData>
    <row r="1" spans="1:6" ht="18" x14ac:dyDescent="0.25">
      <c r="A1" s="45" t="s">
        <v>96</v>
      </c>
      <c r="B1" s="43"/>
      <c r="C1" s="43"/>
      <c r="D1" s="43"/>
      <c r="E1" s="43"/>
      <c r="F1" s="43"/>
    </row>
    <row r="3" spans="1:6" x14ac:dyDescent="0.25">
      <c r="A3" s="20" t="s">
        <v>53</v>
      </c>
      <c r="B3" s="21">
        <v>3.6080000000000001E-2</v>
      </c>
    </row>
    <row r="4" spans="1:6" x14ac:dyDescent="0.25">
      <c r="A4" s="20" t="s">
        <v>54</v>
      </c>
      <c r="B4" s="22">
        <v>18.2</v>
      </c>
    </row>
    <row r="5" spans="1:6" x14ac:dyDescent="0.25">
      <c r="A5" s="20" t="s">
        <v>97</v>
      </c>
      <c r="B5" s="23">
        <v>882476</v>
      </c>
    </row>
    <row r="6" spans="1:6" x14ac:dyDescent="0.25">
      <c r="A6" s="20" t="s">
        <v>56</v>
      </c>
      <c r="B6" s="23">
        <v>847717</v>
      </c>
    </row>
    <row r="7" spans="1:6" x14ac:dyDescent="0.25">
      <c r="A7" s="20" t="s">
        <v>57</v>
      </c>
      <c r="B7" s="23">
        <v>33578</v>
      </c>
    </row>
    <row r="8" spans="1:6" x14ac:dyDescent="0.25">
      <c r="A8" s="20" t="s">
        <v>58</v>
      </c>
      <c r="B8" s="23">
        <v>1181</v>
      </c>
    </row>
    <row r="9" spans="1:6" x14ac:dyDescent="0.25">
      <c r="A9" s="20" t="s">
        <v>59</v>
      </c>
      <c r="B9" s="23">
        <v>6565342087</v>
      </c>
    </row>
    <row r="10" spans="1:6" x14ac:dyDescent="0.25">
      <c r="A10" s="20" t="s">
        <v>60</v>
      </c>
      <c r="B10" s="23">
        <v>7439.7</v>
      </c>
    </row>
    <row r="11" spans="1:6" x14ac:dyDescent="0.25">
      <c r="A11" s="20" t="s">
        <v>61</v>
      </c>
      <c r="B11" s="23">
        <v>45</v>
      </c>
    </row>
    <row r="12" spans="1:6" x14ac:dyDescent="0.25">
      <c r="A12" s="20" t="s">
        <v>62</v>
      </c>
      <c r="B12" s="23">
        <v>166</v>
      </c>
    </row>
    <row r="13" spans="1:6" x14ac:dyDescent="0.25">
      <c r="A13" s="20" t="s">
        <v>63</v>
      </c>
      <c r="B13" s="23">
        <v>579</v>
      </c>
    </row>
    <row r="14" spans="1:6" x14ac:dyDescent="0.25">
      <c r="A14" s="20" t="s">
        <v>64</v>
      </c>
      <c r="B14" s="21">
        <v>0.52159999999999995</v>
      </c>
    </row>
    <row r="16" spans="1:6" x14ac:dyDescent="0.25">
      <c r="A16" s="46" t="s">
        <v>65</v>
      </c>
      <c r="B16" s="43"/>
      <c r="C16" s="43"/>
      <c r="D16" s="2">
        <f>0.05/60</f>
        <v>8.3333333333333339E-4</v>
      </c>
    </row>
    <row r="18" spans="1:12" ht="30" customHeight="1" x14ac:dyDescent="0.25">
      <c r="A18" s="3" t="s">
        <v>66</v>
      </c>
      <c r="B18" s="3" t="s">
        <v>67</v>
      </c>
      <c r="C18" s="3" t="s">
        <v>68</v>
      </c>
      <c r="D18" s="3" t="s">
        <v>12</v>
      </c>
      <c r="E18" s="3" t="s">
        <v>69</v>
      </c>
      <c r="F18" s="3" t="s">
        <v>70</v>
      </c>
      <c r="G18" s="3" t="s">
        <v>71</v>
      </c>
      <c r="H18" s="3" t="s">
        <v>72</v>
      </c>
      <c r="I18" s="3" t="s">
        <v>73</v>
      </c>
      <c r="J18" s="3" t="s">
        <v>74</v>
      </c>
      <c r="K18" s="3" t="s">
        <v>75</v>
      </c>
      <c r="L18" s="3" t="s">
        <v>14</v>
      </c>
    </row>
    <row r="19" spans="1:12" x14ac:dyDescent="0.25">
      <c r="A19" s="24" t="s">
        <v>76</v>
      </c>
      <c r="B19" s="24" t="s">
        <v>77</v>
      </c>
      <c r="C19" s="25">
        <v>579</v>
      </c>
      <c r="D19" s="6">
        <v>0.52159999999999995</v>
      </c>
      <c r="E19" s="6">
        <v>0.49740000000000001</v>
      </c>
      <c r="F19" s="26">
        <f t="shared" ref="F19:F24" si="0">(E19-D19)*100</f>
        <v>-2.4199999999999946</v>
      </c>
      <c r="G19" s="6">
        <v>0.5333</v>
      </c>
      <c r="H19" s="6">
        <v>0.37690000000000001</v>
      </c>
      <c r="I19" s="27">
        <v>0.50549999999999995</v>
      </c>
      <c r="J19" s="10">
        <v>0.2444938425300878</v>
      </c>
      <c r="K19" s="28" t="str">
        <f t="shared" ref="K19:K24" si="1">IF(J19&lt;0.05,"Sim","Não")</f>
        <v>Não</v>
      </c>
      <c r="L19" s="29" t="str">
        <f t="shared" ref="L19:L24" si="2">IF(J19&lt;$D$16,"Sim","Não")</f>
        <v>Não</v>
      </c>
    </row>
    <row r="20" spans="1:12" x14ac:dyDescent="0.25">
      <c r="A20" s="30" t="s">
        <v>76</v>
      </c>
      <c r="B20" s="30" t="s">
        <v>78</v>
      </c>
      <c r="C20" s="31">
        <v>579</v>
      </c>
      <c r="D20" s="14">
        <v>0.52159999999999995</v>
      </c>
      <c r="E20" s="14">
        <v>0.50949999999999995</v>
      </c>
      <c r="F20" s="32">
        <f t="shared" si="0"/>
        <v>-1.21</v>
      </c>
      <c r="G20" s="14">
        <v>0.53239999999999998</v>
      </c>
      <c r="H20" s="14">
        <v>0.51029999999999998</v>
      </c>
      <c r="I20" s="33">
        <v>0.49630000000000002</v>
      </c>
      <c r="J20" s="18">
        <v>0.56067241862442962</v>
      </c>
      <c r="K20" s="34" t="str">
        <f t="shared" si="1"/>
        <v>Não</v>
      </c>
      <c r="L20" s="35" t="str">
        <f t="shared" si="2"/>
        <v>Não</v>
      </c>
    </row>
    <row r="21" spans="1:12" x14ac:dyDescent="0.25">
      <c r="A21" s="24" t="s">
        <v>79</v>
      </c>
      <c r="B21" s="24" t="s">
        <v>77</v>
      </c>
      <c r="C21" s="25">
        <v>579</v>
      </c>
      <c r="D21" s="6">
        <v>0.52159999999999995</v>
      </c>
      <c r="E21" s="6">
        <v>0.47670000000000001</v>
      </c>
      <c r="F21" s="26">
        <f t="shared" si="0"/>
        <v>-4.489999999999994</v>
      </c>
      <c r="G21" s="6">
        <v>0.47620000000000001</v>
      </c>
      <c r="H21" s="6">
        <v>6.1899999999999997E-2</v>
      </c>
      <c r="I21" s="27">
        <v>0.50170000000000003</v>
      </c>
      <c r="J21" s="10">
        <v>3.379235901365428E-2</v>
      </c>
      <c r="K21" s="28" t="str">
        <f t="shared" si="1"/>
        <v>Sim</v>
      </c>
      <c r="L21" s="29" t="str">
        <f t="shared" si="2"/>
        <v>Não</v>
      </c>
    </row>
    <row r="22" spans="1:12" x14ac:dyDescent="0.25">
      <c r="A22" s="30" t="s">
        <v>79</v>
      </c>
      <c r="B22" s="30" t="s">
        <v>78</v>
      </c>
      <c r="C22" s="31">
        <v>579</v>
      </c>
      <c r="D22" s="14">
        <v>0.52159999999999995</v>
      </c>
      <c r="E22" s="14">
        <v>0.50600000000000001</v>
      </c>
      <c r="F22" s="32">
        <f t="shared" si="0"/>
        <v>-1.5599999999999947</v>
      </c>
      <c r="G22" s="14">
        <v>0.52900000000000003</v>
      </c>
      <c r="H22" s="14">
        <v>0.50519999999999998</v>
      </c>
      <c r="I22" s="33">
        <v>0.501</v>
      </c>
      <c r="J22" s="18">
        <v>0.45439759240535932</v>
      </c>
      <c r="K22" s="34" t="str">
        <f t="shared" si="1"/>
        <v>Não</v>
      </c>
      <c r="L22" s="35" t="str">
        <f t="shared" si="2"/>
        <v>Não</v>
      </c>
    </row>
    <row r="23" spans="1:12" x14ac:dyDescent="0.25">
      <c r="A23" s="24" t="s">
        <v>80</v>
      </c>
      <c r="B23" s="24" t="s">
        <v>77</v>
      </c>
      <c r="C23" s="25">
        <v>579</v>
      </c>
      <c r="D23" s="6">
        <v>0.52159999999999995</v>
      </c>
      <c r="E23" s="6">
        <v>0.48699999999999999</v>
      </c>
      <c r="F23" s="26">
        <f t="shared" si="0"/>
        <v>-3.4599999999999964</v>
      </c>
      <c r="G23" s="6">
        <v>0.69230000000000003</v>
      </c>
      <c r="H23" s="6">
        <v>5.7099999999999998E-2</v>
      </c>
      <c r="I23" s="27">
        <v>0.48509999999999998</v>
      </c>
      <c r="J23" s="10">
        <v>9.6334217603920622E-2</v>
      </c>
      <c r="K23" s="28" t="str">
        <f t="shared" si="1"/>
        <v>Não</v>
      </c>
      <c r="L23" s="29" t="str">
        <f t="shared" si="2"/>
        <v>Não</v>
      </c>
    </row>
    <row r="24" spans="1:12" x14ac:dyDescent="0.25">
      <c r="A24" s="30" t="s">
        <v>80</v>
      </c>
      <c r="B24" s="30" t="s">
        <v>78</v>
      </c>
      <c r="C24" s="31">
        <v>579</v>
      </c>
      <c r="D24" s="14">
        <v>0.52159999999999995</v>
      </c>
      <c r="E24" s="14">
        <v>0.49740000000000001</v>
      </c>
      <c r="F24" s="32">
        <f t="shared" si="0"/>
        <v>-2.4199999999999946</v>
      </c>
      <c r="G24" s="14">
        <v>0.52029999999999998</v>
      </c>
      <c r="H24" s="14">
        <v>0.49209999999999998</v>
      </c>
      <c r="I24" s="33">
        <v>0.49280000000000002</v>
      </c>
      <c r="J24" s="18">
        <v>0.2444938425300878</v>
      </c>
      <c r="K24" s="34" t="str">
        <f t="shared" si="1"/>
        <v>Não</v>
      </c>
      <c r="L24" s="35" t="str">
        <f t="shared" si="2"/>
        <v>Não</v>
      </c>
    </row>
    <row r="26" spans="1:12" ht="30" customHeight="1" x14ac:dyDescent="0.25">
      <c r="A26" s="3" t="s">
        <v>81</v>
      </c>
      <c r="B26" s="3" t="s">
        <v>67</v>
      </c>
      <c r="C26" s="3" t="s">
        <v>82</v>
      </c>
      <c r="D26" s="3" t="s">
        <v>83</v>
      </c>
      <c r="E26" s="3" t="s">
        <v>84</v>
      </c>
      <c r="F26" s="3" t="s">
        <v>85</v>
      </c>
    </row>
    <row r="27" spans="1:12" x14ac:dyDescent="0.25">
      <c r="A27" s="24" t="s">
        <v>86</v>
      </c>
      <c r="B27" s="24" t="s">
        <v>77</v>
      </c>
      <c r="C27" s="36">
        <v>75</v>
      </c>
      <c r="D27" s="36">
        <v>81</v>
      </c>
      <c r="E27" s="37">
        <v>0.68905427293146826</v>
      </c>
      <c r="F27" s="38" t="str">
        <f t="shared" ref="F27:F32" si="3">IF(E27&lt;0.05,"Sim","Não")</f>
        <v>Não</v>
      </c>
    </row>
    <row r="28" spans="1:12" x14ac:dyDescent="0.25">
      <c r="A28" s="30" t="s">
        <v>86</v>
      </c>
      <c r="B28" s="30" t="s">
        <v>78</v>
      </c>
      <c r="C28" s="39">
        <v>39</v>
      </c>
      <c r="D28" s="39">
        <v>46</v>
      </c>
      <c r="E28" s="40">
        <v>0.51542573188390173</v>
      </c>
      <c r="F28" s="41" t="str">
        <f t="shared" si="3"/>
        <v>Não</v>
      </c>
    </row>
    <row r="29" spans="1:12" x14ac:dyDescent="0.25">
      <c r="A29" s="24" t="s">
        <v>87</v>
      </c>
      <c r="B29" s="24" t="s">
        <v>77</v>
      </c>
      <c r="C29" s="36">
        <v>75</v>
      </c>
      <c r="D29" s="36">
        <v>87</v>
      </c>
      <c r="E29" s="37">
        <v>0.38751908484905312</v>
      </c>
      <c r="F29" s="38" t="str">
        <f t="shared" si="3"/>
        <v>Não</v>
      </c>
    </row>
    <row r="30" spans="1:12" x14ac:dyDescent="0.25">
      <c r="A30" s="30" t="s">
        <v>87</v>
      </c>
      <c r="B30" s="30" t="s">
        <v>78</v>
      </c>
      <c r="C30" s="39">
        <v>43</v>
      </c>
      <c r="D30" s="39">
        <v>45</v>
      </c>
      <c r="E30" s="40">
        <v>0.91518650484287645</v>
      </c>
      <c r="F30" s="41" t="str">
        <f t="shared" si="3"/>
        <v>Não</v>
      </c>
    </row>
    <row r="31" spans="1:12" x14ac:dyDescent="0.25">
      <c r="A31" s="24" t="s">
        <v>88</v>
      </c>
      <c r="B31" s="24" t="s">
        <v>77</v>
      </c>
      <c r="C31" s="36">
        <v>11</v>
      </c>
      <c r="D31" s="36">
        <v>5</v>
      </c>
      <c r="E31" s="37">
        <v>0.210113525390625</v>
      </c>
      <c r="F31" s="38" t="str">
        <f t="shared" si="3"/>
        <v>Não</v>
      </c>
    </row>
    <row r="32" spans="1:12" x14ac:dyDescent="0.25">
      <c r="A32" s="30" t="s">
        <v>88</v>
      </c>
      <c r="B32" s="30" t="s">
        <v>78</v>
      </c>
      <c r="C32" s="39">
        <v>20</v>
      </c>
      <c r="D32" s="39">
        <v>25</v>
      </c>
      <c r="E32" s="40">
        <v>0.55148432980251982</v>
      </c>
      <c r="F32" s="41" t="str">
        <f t="shared" si="3"/>
        <v>Não</v>
      </c>
    </row>
    <row r="34" spans="1:12" ht="45.95" customHeight="1" x14ac:dyDescent="0.25">
      <c r="A34" s="42" t="s">
        <v>89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</row>
  </sheetData>
  <mergeCells count="3">
    <mergeCell ref="A1:F1"/>
    <mergeCell ref="A16:C16"/>
    <mergeCell ref="A34:L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4"/>
  <sheetViews>
    <sheetView workbookViewId="0"/>
  </sheetViews>
  <sheetFormatPr defaultRowHeight="15" x14ac:dyDescent="0.25"/>
  <cols>
    <col min="1" max="1" width="42" customWidth="1"/>
    <col min="2" max="2" width="10" customWidth="1"/>
    <col min="3" max="4" width="9" customWidth="1"/>
    <col min="5" max="5" width="10" customWidth="1"/>
    <col min="6" max="6" width="12" customWidth="1"/>
    <col min="7" max="7" width="10" customWidth="1"/>
    <col min="8" max="8" width="9" customWidth="1"/>
    <col min="9" max="9" width="8" customWidth="1"/>
    <col min="10" max="11" width="10" customWidth="1"/>
    <col min="12" max="12" width="11" customWidth="1"/>
  </cols>
  <sheetData>
    <row r="1" spans="1:6" ht="18" x14ac:dyDescent="0.25">
      <c r="A1" s="45" t="s">
        <v>98</v>
      </c>
      <c r="B1" s="43"/>
      <c r="C1" s="43"/>
      <c r="D1" s="43"/>
      <c r="E1" s="43"/>
      <c r="F1" s="43"/>
    </row>
    <row r="3" spans="1:6" x14ac:dyDescent="0.25">
      <c r="A3" s="20" t="s">
        <v>53</v>
      </c>
      <c r="B3" s="21">
        <v>3.5189999999999999E-2</v>
      </c>
    </row>
    <row r="4" spans="1:6" x14ac:dyDescent="0.25">
      <c r="A4" s="20" t="s">
        <v>54</v>
      </c>
      <c r="B4" s="22">
        <v>17.420000000000002</v>
      </c>
    </row>
    <row r="5" spans="1:6" x14ac:dyDescent="0.25">
      <c r="A5" s="20" t="s">
        <v>55</v>
      </c>
      <c r="B5" s="23">
        <v>294151</v>
      </c>
    </row>
    <row r="6" spans="1:6" x14ac:dyDescent="0.25">
      <c r="A6" s="20" t="s">
        <v>56</v>
      </c>
      <c r="B6" s="23">
        <v>290198</v>
      </c>
    </row>
    <row r="7" spans="1:6" x14ac:dyDescent="0.25">
      <c r="A7" s="20" t="s">
        <v>57</v>
      </c>
      <c r="B7" s="23">
        <v>2306</v>
      </c>
    </row>
    <row r="8" spans="1:6" x14ac:dyDescent="0.25">
      <c r="A8" s="20" t="s">
        <v>58</v>
      </c>
      <c r="B8" s="23">
        <v>1647</v>
      </c>
    </row>
    <row r="9" spans="1:6" x14ac:dyDescent="0.25">
      <c r="A9" s="20" t="s">
        <v>59</v>
      </c>
      <c r="B9" s="23">
        <v>4972065060</v>
      </c>
    </row>
    <row r="10" spans="1:6" x14ac:dyDescent="0.25">
      <c r="A10" s="20" t="s">
        <v>60</v>
      </c>
      <c r="B10" s="23">
        <v>16903.099999999999</v>
      </c>
    </row>
    <row r="11" spans="1:6" x14ac:dyDescent="0.25">
      <c r="A11" s="20" t="s">
        <v>61</v>
      </c>
      <c r="B11" s="23">
        <v>55</v>
      </c>
    </row>
    <row r="12" spans="1:6" x14ac:dyDescent="0.25">
      <c r="A12" s="20" t="s">
        <v>62</v>
      </c>
      <c r="B12" s="23">
        <v>288</v>
      </c>
    </row>
    <row r="13" spans="1:6" x14ac:dyDescent="0.25">
      <c r="A13" s="20" t="s">
        <v>63</v>
      </c>
      <c r="B13" s="23">
        <v>579</v>
      </c>
    </row>
    <row r="14" spans="1:6" x14ac:dyDescent="0.25">
      <c r="A14" s="20" t="s">
        <v>64</v>
      </c>
      <c r="B14" s="21">
        <v>0.50600000000000001</v>
      </c>
    </row>
    <row r="16" spans="1:6" x14ac:dyDescent="0.25">
      <c r="A16" s="46" t="s">
        <v>65</v>
      </c>
      <c r="B16" s="43"/>
      <c r="C16" s="43"/>
      <c r="D16" s="2">
        <f>0.05/60</f>
        <v>8.3333333333333339E-4</v>
      </c>
    </row>
    <row r="18" spans="1:12" ht="30" customHeight="1" x14ac:dyDescent="0.25">
      <c r="A18" s="3" t="s">
        <v>66</v>
      </c>
      <c r="B18" s="3" t="s">
        <v>67</v>
      </c>
      <c r="C18" s="3" t="s">
        <v>68</v>
      </c>
      <c r="D18" s="3" t="s">
        <v>12</v>
      </c>
      <c r="E18" s="3" t="s">
        <v>69</v>
      </c>
      <c r="F18" s="3" t="s">
        <v>70</v>
      </c>
      <c r="G18" s="3" t="s">
        <v>71</v>
      </c>
      <c r="H18" s="3" t="s">
        <v>72</v>
      </c>
      <c r="I18" s="3" t="s">
        <v>73</v>
      </c>
      <c r="J18" s="3" t="s">
        <v>74</v>
      </c>
      <c r="K18" s="3" t="s">
        <v>75</v>
      </c>
      <c r="L18" s="3" t="s">
        <v>14</v>
      </c>
    </row>
    <row r="19" spans="1:12" x14ac:dyDescent="0.25">
      <c r="A19" s="24" t="s">
        <v>76</v>
      </c>
      <c r="B19" s="24" t="s">
        <v>77</v>
      </c>
      <c r="C19" s="25">
        <v>579</v>
      </c>
      <c r="D19" s="6">
        <v>0.50600000000000001</v>
      </c>
      <c r="E19" s="6">
        <v>0.49220000000000003</v>
      </c>
      <c r="F19" s="26">
        <f t="shared" ref="F19:F24" si="0">(E19-D19)*100</f>
        <v>-1.3799999999999979</v>
      </c>
      <c r="G19" s="6">
        <v>0.49530000000000002</v>
      </c>
      <c r="H19" s="6">
        <v>0.26500000000000001</v>
      </c>
      <c r="I19" s="27">
        <v>0.4622</v>
      </c>
      <c r="J19" s="10">
        <v>0.50645315787441891</v>
      </c>
      <c r="K19" s="28" t="str">
        <f t="shared" ref="K19:K24" si="1">IF(J19&lt;0.05,"Sim","Não")</f>
        <v>Não</v>
      </c>
      <c r="L19" s="29" t="str">
        <f t="shared" ref="L19:L24" si="2">IF(J19&lt;$D$16,"Sim","Não")</f>
        <v>Não</v>
      </c>
    </row>
    <row r="20" spans="1:12" x14ac:dyDescent="0.25">
      <c r="A20" s="30" t="s">
        <v>76</v>
      </c>
      <c r="B20" s="30" t="s">
        <v>78</v>
      </c>
      <c r="C20" s="31">
        <v>579</v>
      </c>
      <c r="D20" s="14">
        <v>0.50600000000000001</v>
      </c>
      <c r="E20" s="14">
        <v>0.52329999999999999</v>
      </c>
      <c r="F20" s="32">
        <f t="shared" si="0"/>
        <v>1.7299999999999982</v>
      </c>
      <c r="G20" s="14">
        <v>0.53469999999999995</v>
      </c>
      <c r="H20" s="14">
        <v>0.48699999999999999</v>
      </c>
      <c r="I20" s="33">
        <v>0.52769999999999995</v>
      </c>
      <c r="J20" s="18">
        <v>0.42974521835737373</v>
      </c>
      <c r="K20" s="34" t="str">
        <f t="shared" si="1"/>
        <v>Não</v>
      </c>
      <c r="L20" s="35" t="str">
        <f t="shared" si="2"/>
        <v>Não</v>
      </c>
    </row>
    <row r="21" spans="1:12" x14ac:dyDescent="0.25">
      <c r="A21" s="24" t="s">
        <v>79</v>
      </c>
      <c r="B21" s="24" t="s">
        <v>77</v>
      </c>
      <c r="C21" s="25">
        <v>579</v>
      </c>
      <c r="D21" s="6">
        <v>0.50600000000000001</v>
      </c>
      <c r="E21" s="6">
        <v>0.51119999999999999</v>
      </c>
      <c r="F21" s="26">
        <f t="shared" si="0"/>
        <v>0.51999999999999824</v>
      </c>
      <c r="G21" s="6">
        <v>0.52210000000000001</v>
      </c>
      <c r="H21" s="6">
        <v>0.45469999999999999</v>
      </c>
      <c r="I21" s="27">
        <v>0.49130000000000001</v>
      </c>
      <c r="J21" s="10">
        <v>0.83540122046315224</v>
      </c>
      <c r="K21" s="28" t="str">
        <f t="shared" si="1"/>
        <v>Não</v>
      </c>
      <c r="L21" s="29" t="str">
        <f t="shared" si="2"/>
        <v>Não</v>
      </c>
    </row>
    <row r="22" spans="1:12" x14ac:dyDescent="0.25">
      <c r="A22" s="30" t="s">
        <v>79</v>
      </c>
      <c r="B22" s="30" t="s">
        <v>78</v>
      </c>
      <c r="C22" s="31">
        <v>579</v>
      </c>
      <c r="D22" s="14">
        <v>0.50600000000000001</v>
      </c>
      <c r="E22" s="14">
        <v>0.52849999999999997</v>
      </c>
      <c r="F22" s="32">
        <f t="shared" si="0"/>
        <v>2.2499999999999964</v>
      </c>
      <c r="G22" s="14">
        <v>0.54269999999999996</v>
      </c>
      <c r="H22" s="14">
        <v>0.48199999999999998</v>
      </c>
      <c r="I22" s="33">
        <v>0.53539999999999999</v>
      </c>
      <c r="J22" s="18">
        <v>0.29878050196597861</v>
      </c>
      <c r="K22" s="34" t="str">
        <f t="shared" si="1"/>
        <v>Não</v>
      </c>
      <c r="L22" s="35" t="str">
        <f t="shared" si="2"/>
        <v>Não</v>
      </c>
    </row>
    <row r="23" spans="1:12" x14ac:dyDescent="0.25">
      <c r="A23" s="24" t="s">
        <v>80</v>
      </c>
      <c r="B23" s="24" t="s">
        <v>77</v>
      </c>
      <c r="C23" s="25">
        <v>579</v>
      </c>
      <c r="D23" s="6">
        <v>0.50600000000000001</v>
      </c>
      <c r="E23" s="6">
        <v>0.51119999999999999</v>
      </c>
      <c r="F23" s="26">
        <f t="shared" si="0"/>
        <v>0.51999999999999824</v>
      </c>
      <c r="G23" s="6">
        <v>0.54630000000000001</v>
      </c>
      <c r="H23" s="6">
        <v>0.29430000000000001</v>
      </c>
      <c r="I23" s="27">
        <v>0.47970000000000002</v>
      </c>
      <c r="J23" s="10">
        <v>0.83540122046315224</v>
      </c>
      <c r="K23" s="28" t="str">
        <f t="shared" si="1"/>
        <v>Não</v>
      </c>
      <c r="L23" s="29" t="str">
        <f t="shared" si="2"/>
        <v>Não</v>
      </c>
    </row>
    <row r="24" spans="1:12" x14ac:dyDescent="0.25">
      <c r="A24" s="30" t="s">
        <v>80</v>
      </c>
      <c r="B24" s="30" t="s">
        <v>78</v>
      </c>
      <c r="C24" s="31">
        <v>579</v>
      </c>
      <c r="D24" s="14">
        <v>0.50600000000000001</v>
      </c>
      <c r="E24" s="14">
        <v>0.51990000000000003</v>
      </c>
      <c r="F24" s="32">
        <f t="shared" si="0"/>
        <v>1.3900000000000023</v>
      </c>
      <c r="G24" s="14">
        <v>0.53159999999999996</v>
      </c>
      <c r="H24" s="14">
        <v>0.47549999999999998</v>
      </c>
      <c r="I24" s="33">
        <v>0.52370000000000005</v>
      </c>
      <c r="J24" s="18">
        <v>0.53304193019310542</v>
      </c>
      <c r="K24" s="34" t="str">
        <f t="shared" si="1"/>
        <v>Não</v>
      </c>
      <c r="L24" s="35" t="str">
        <f t="shared" si="2"/>
        <v>Não</v>
      </c>
    </row>
    <row r="26" spans="1:12" ht="30" customHeight="1" x14ac:dyDescent="0.25">
      <c r="A26" s="3" t="s">
        <v>81</v>
      </c>
      <c r="B26" s="3" t="s">
        <v>67</v>
      </c>
      <c r="C26" s="3" t="s">
        <v>82</v>
      </c>
      <c r="D26" s="3" t="s">
        <v>83</v>
      </c>
      <c r="E26" s="3" t="s">
        <v>84</v>
      </c>
      <c r="F26" s="3" t="s">
        <v>85</v>
      </c>
    </row>
    <row r="27" spans="1:12" x14ac:dyDescent="0.25">
      <c r="A27" s="24" t="s">
        <v>86</v>
      </c>
      <c r="B27" s="24" t="s">
        <v>77</v>
      </c>
      <c r="C27" s="36">
        <v>33</v>
      </c>
      <c r="D27" s="36">
        <v>22</v>
      </c>
      <c r="E27" s="37">
        <v>0.17700136477035811</v>
      </c>
      <c r="F27" s="38" t="str">
        <f t="shared" ref="F27:F32" si="3">IF(E27&lt;0.05,"Sim","Não")</f>
        <v>Não</v>
      </c>
    </row>
    <row r="28" spans="1:12" x14ac:dyDescent="0.25">
      <c r="A28" s="30" t="s">
        <v>86</v>
      </c>
      <c r="B28" s="30" t="s">
        <v>78</v>
      </c>
      <c r="C28" s="39">
        <v>32</v>
      </c>
      <c r="D28" s="39">
        <v>34</v>
      </c>
      <c r="E28" s="40">
        <v>0.9021585000966994</v>
      </c>
      <c r="F28" s="41" t="str">
        <f t="shared" si="3"/>
        <v>Não</v>
      </c>
    </row>
    <row r="29" spans="1:12" x14ac:dyDescent="0.25">
      <c r="A29" s="24" t="s">
        <v>87</v>
      </c>
      <c r="B29" s="24" t="s">
        <v>77</v>
      </c>
      <c r="C29" s="36">
        <v>88</v>
      </c>
      <c r="D29" s="36">
        <v>77</v>
      </c>
      <c r="E29" s="37">
        <v>0.43636822805371339</v>
      </c>
      <c r="F29" s="38" t="str">
        <f t="shared" si="3"/>
        <v>Não</v>
      </c>
    </row>
    <row r="30" spans="1:12" x14ac:dyDescent="0.25">
      <c r="A30" s="30" t="s">
        <v>87</v>
      </c>
      <c r="B30" s="30" t="s">
        <v>78</v>
      </c>
      <c r="C30" s="39">
        <v>42</v>
      </c>
      <c r="D30" s="39">
        <v>39</v>
      </c>
      <c r="E30" s="40">
        <v>0.82431321510520827</v>
      </c>
      <c r="F30" s="41" t="str">
        <f t="shared" si="3"/>
        <v>Não</v>
      </c>
    </row>
    <row r="31" spans="1:12" x14ac:dyDescent="0.25">
      <c r="A31" s="24" t="s">
        <v>88</v>
      </c>
      <c r="B31" s="24" t="s">
        <v>77</v>
      </c>
      <c r="C31" s="36">
        <v>73</v>
      </c>
      <c r="D31" s="36">
        <v>73</v>
      </c>
      <c r="E31" s="37">
        <v>1</v>
      </c>
      <c r="F31" s="38" t="str">
        <f t="shared" si="3"/>
        <v>Não</v>
      </c>
    </row>
    <row r="32" spans="1:12" x14ac:dyDescent="0.25">
      <c r="A32" s="30" t="s">
        <v>88</v>
      </c>
      <c r="B32" s="30" t="s">
        <v>78</v>
      </c>
      <c r="C32" s="39">
        <v>31</v>
      </c>
      <c r="D32" s="39">
        <v>36</v>
      </c>
      <c r="E32" s="40">
        <v>0.62540682894164834</v>
      </c>
      <c r="F32" s="41" t="str">
        <f t="shared" si="3"/>
        <v>Não</v>
      </c>
    </row>
    <row r="34" spans="1:12" ht="45.95" customHeight="1" x14ac:dyDescent="0.25">
      <c r="A34" s="42" t="s">
        <v>89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</row>
  </sheetData>
  <mergeCells count="3">
    <mergeCell ref="A1:F1"/>
    <mergeCell ref="A16:C16"/>
    <mergeCell ref="A34:L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"/>
  <sheetViews>
    <sheetView workbookViewId="0"/>
  </sheetViews>
  <sheetFormatPr defaultRowHeight="15" x14ac:dyDescent="0.25"/>
  <cols>
    <col min="1" max="1" width="42" customWidth="1"/>
    <col min="2" max="2" width="10" customWidth="1"/>
    <col min="3" max="4" width="9" customWidth="1"/>
    <col min="5" max="5" width="10" customWidth="1"/>
    <col min="6" max="6" width="12" customWidth="1"/>
    <col min="7" max="7" width="10" customWidth="1"/>
    <col min="8" max="8" width="9" customWidth="1"/>
    <col min="9" max="9" width="8" customWidth="1"/>
    <col min="10" max="11" width="10" customWidth="1"/>
    <col min="12" max="12" width="11" customWidth="1"/>
  </cols>
  <sheetData>
    <row r="1" spans="1:6" ht="18" x14ac:dyDescent="0.25">
      <c r="A1" s="45" t="s">
        <v>99</v>
      </c>
      <c r="B1" s="43"/>
      <c r="C1" s="43"/>
      <c r="D1" s="43"/>
      <c r="E1" s="43"/>
      <c r="F1" s="43"/>
    </row>
    <row r="3" spans="1:6" x14ac:dyDescent="0.25">
      <c r="A3" s="20" t="s">
        <v>53</v>
      </c>
      <c r="B3" s="21">
        <v>3.279E-2</v>
      </c>
    </row>
    <row r="4" spans="1:6" x14ac:dyDescent="0.25">
      <c r="A4" s="20" t="s">
        <v>54</v>
      </c>
      <c r="B4" s="22">
        <v>14.16</v>
      </c>
    </row>
    <row r="5" spans="1:6" x14ac:dyDescent="0.25">
      <c r="A5" s="20" t="s">
        <v>55</v>
      </c>
      <c r="B5" s="23">
        <v>965450</v>
      </c>
    </row>
    <row r="6" spans="1:6" x14ac:dyDescent="0.25">
      <c r="A6" s="20" t="s">
        <v>56</v>
      </c>
      <c r="B6" s="23">
        <v>961131</v>
      </c>
    </row>
    <row r="7" spans="1:6" x14ac:dyDescent="0.25">
      <c r="A7" s="20" t="s">
        <v>57</v>
      </c>
      <c r="B7" s="23">
        <v>2566</v>
      </c>
    </row>
    <row r="8" spans="1:6" x14ac:dyDescent="0.25">
      <c r="A8" s="20" t="s">
        <v>58</v>
      </c>
      <c r="B8" s="23">
        <v>1753</v>
      </c>
    </row>
    <row r="9" spans="1:6" x14ac:dyDescent="0.25">
      <c r="A9" s="20" t="s">
        <v>59</v>
      </c>
      <c r="B9" s="23">
        <v>7370345156</v>
      </c>
    </row>
    <row r="10" spans="1:6" x14ac:dyDescent="0.25">
      <c r="A10" s="20" t="s">
        <v>60</v>
      </c>
      <c r="B10" s="23">
        <v>7634.1</v>
      </c>
    </row>
    <row r="11" spans="1:6" x14ac:dyDescent="0.25">
      <c r="A11" s="20" t="s">
        <v>61</v>
      </c>
      <c r="B11" s="23">
        <v>78</v>
      </c>
    </row>
    <row r="12" spans="1:6" x14ac:dyDescent="0.25">
      <c r="A12" s="20" t="s">
        <v>62</v>
      </c>
      <c r="B12" s="23">
        <v>176</v>
      </c>
    </row>
    <row r="13" spans="1:6" x14ac:dyDescent="0.25">
      <c r="A13" s="20" t="s">
        <v>63</v>
      </c>
      <c r="B13" s="23">
        <v>579</v>
      </c>
    </row>
    <row r="14" spans="1:6" x14ac:dyDescent="0.25">
      <c r="A14" s="20" t="s">
        <v>64</v>
      </c>
      <c r="B14" s="21">
        <v>0.5181</v>
      </c>
    </row>
    <row r="16" spans="1:6" x14ac:dyDescent="0.25">
      <c r="A16" s="46" t="s">
        <v>65</v>
      </c>
      <c r="B16" s="43"/>
      <c r="C16" s="43"/>
      <c r="D16" s="2">
        <f>0.05/60</f>
        <v>8.3333333333333339E-4</v>
      </c>
    </row>
    <row r="18" spans="1:12" ht="30" customHeight="1" x14ac:dyDescent="0.25">
      <c r="A18" s="3" t="s">
        <v>66</v>
      </c>
      <c r="B18" s="3" t="s">
        <v>67</v>
      </c>
      <c r="C18" s="3" t="s">
        <v>68</v>
      </c>
      <c r="D18" s="3" t="s">
        <v>12</v>
      </c>
      <c r="E18" s="3" t="s">
        <v>69</v>
      </c>
      <c r="F18" s="3" t="s">
        <v>70</v>
      </c>
      <c r="G18" s="3" t="s">
        <v>71</v>
      </c>
      <c r="H18" s="3" t="s">
        <v>72</v>
      </c>
      <c r="I18" s="3" t="s">
        <v>73</v>
      </c>
      <c r="J18" s="3" t="s">
        <v>74</v>
      </c>
      <c r="K18" s="3" t="s">
        <v>75</v>
      </c>
      <c r="L18" s="3" t="s">
        <v>14</v>
      </c>
    </row>
    <row r="19" spans="1:12" x14ac:dyDescent="0.25">
      <c r="A19" s="24" t="s">
        <v>76</v>
      </c>
      <c r="B19" s="24" t="s">
        <v>77</v>
      </c>
      <c r="C19" s="25">
        <v>579</v>
      </c>
      <c r="D19" s="6">
        <v>0.5181</v>
      </c>
      <c r="E19" s="6">
        <v>0.51639999999999997</v>
      </c>
      <c r="F19" s="26">
        <f t="shared" ref="F19:F24" si="0">(E19-D19)*100</f>
        <v>-0.17000000000000348</v>
      </c>
      <c r="G19" s="6">
        <v>0.55100000000000005</v>
      </c>
      <c r="H19" s="6">
        <v>0.4355</v>
      </c>
      <c r="I19" s="27">
        <v>0.52149999999999996</v>
      </c>
      <c r="J19" s="10">
        <v>0.93377732088604248</v>
      </c>
      <c r="K19" s="28" t="str">
        <f t="shared" ref="K19:K24" si="1">IF(J19&lt;0.05,"Sim","Não")</f>
        <v>Não</v>
      </c>
      <c r="L19" s="29" t="str">
        <f t="shared" ref="L19:L24" si="2">IF(J19&lt;$D$16,"Sim","Não")</f>
        <v>Não</v>
      </c>
    </row>
    <row r="20" spans="1:12" x14ac:dyDescent="0.25">
      <c r="A20" s="30" t="s">
        <v>76</v>
      </c>
      <c r="B20" s="30" t="s">
        <v>78</v>
      </c>
      <c r="C20" s="31">
        <v>579</v>
      </c>
      <c r="D20" s="14">
        <v>0.5181</v>
      </c>
      <c r="E20" s="14">
        <v>0.50429999999999997</v>
      </c>
      <c r="F20" s="32">
        <f t="shared" si="0"/>
        <v>-1.3800000000000034</v>
      </c>
      <c r="G20" s="14">
        <v>0.52300000000000002</v>
      </c>
      <c r="H20" s="14">
        <v>0.50770000000000004</v>
      </c>
      <c r="I20" s="33">
        <v>0.50090000000000001</v>
      </c>
      <c r="J20" s="18">
        <v>0.50618963001818795</v>
      </c>
      <c r="K20" s="34" t="str">
        <f t="shared" si="1"/>
        <v>Não</v>
      </c>
      <c r="L20" s="35" t="str">
        <f t="shared" si="2"/>
        <v>Não</v>
      </c>
    </row>
    <row r="21" spans="1:12" x14ac:dyDescent="0.25">
      <c r="A21" s="24" t="s">
        <v>79</v>
      </c>
      <c r="B21" s="24" t="s">
        <v>77</v>
      </c>
      <c r="C21" s="25">
        <v>579</v>
      </c>
      <c r="D21" s="6">
        <v>0.5181</v>
      </c>
      <c r="E21" s="6">
        <v>0.49220000000000003</v>
      </c>
      <c r="F21" s="26">
        <f t="shared" si="0"/>
        <v>-2.5899999999999981</v>
      </c>
      <c r="G21" s="6">
        <v>0.56000000000000005</v>
      </c>
      <c r="H21" s="6">
        <v>0.16</v>
      </c>
      <c r="I21" s="27">
        <v>0.53359999999999996</v>
      </c>
      <c r="J21" s="10">
        <v>0.21253013128889731</v>
      </c>
      <c r="K21" s="28" t="str">
        <f t="shared" si="1"/>
        <v>Não</v>
      </c>
      <c r="L21" s="29" t="str">
        <f t="shared" si="2"/>
        <v>Não</v>
      </c>
    </row>
    <row r="22" spans="1:12" x14ac:dyDescent="0.25">
      <c r="A22" s="30" t="s">
        <v>79</v>
      </c>
      <c r="B22" s="30" t="s">
        <v>78</v>
      </c>
      <c r="C22" s="31">
        <v>579</v>
      </c>
      <c r="D22" s="14">
        <v>0.5181</v>
      </c>
      <c r="E22" s="14">
        <v>0.50949999999999995</v>
      </c>
      <c r="F22" s="32">
        <f t="shared" si="0"/>
        <v>-0.8600000000000052</v>
      </c>
      <c r="G22" s="14">
        <v>0.53120000000000001</v>
      </c>
      <c r="H22" s="14">
        <v>0.48920000000000002</v>
      </c>
      <c r="I22" s="33">
        <v>0.52</v>
      </c>
      <c r="J22" s="18">
        <v>0.67779405354829425</v>
      </c>
      <c r="K22" s="34" t="str">
        <f t="shared" si="1"/>
        <v>Não</v>
      </c>
      <c r="L22" s="35" t="str">
        <f t="shared" si="2"/>
        <v>Não</v>
      </c>
    </row>
    <row r="23" spans="1:12" x14ac:dyDescent="0.25">
      <c r="A23" s="24" t="s">
        <v>80</v>
      </c>
      <c r="B23" s="24" t="s">
        <v>77</v>
      </c>
      <c r="C23" s="25">
        <v>579</v>
      </c>
      <c r="D23" s="6">
        <v>0.5181</v>
      </c>
      <c r="E23" s="6">
        <v>0.48530000000000001</v>
      </c>
      <c r="F23" s="26">
        <f t="shared" si="0"/>
        <v>-3.2799999999999994</v>
      </c>
      <c r="G23" s="6">
        <v>0.53120000000000001</v>
      </c>
      <c r="H23" s="6">
        <v>0.1024</v>
      </c>
      <c r="I23" s="27">
        <v>0.52569999999999995</v>
      </c>
      <c r="J23" s="10">
        <v>0.11427682966072961</v>
      </c>
      <c r="K23" s="28" t="str">
        <f t="shared" si="1"/>
        <v>Não</v>
      </c>
      <c r="L23" s="29" t="str">
        <f t="shared" si="2"/>
        <v>Não</v>
      </c>
    </row>
    <row r="24" spans="1:12" x14ac:dyDescent="0.25">
      <c r="A24" s="30" t="s">
        <v>80</v>
      </c>
      <c r="B24" s="30" t="s">
        <v>78</v>
      </c>
      <c r="C24" s="31">
        <v>579</v>
      </c>
      <c r="D24" s="14">
        <v>0.5181</v>
      </c>
      <c r="E24" s="14">
        <v>0.49740000000000001</v>
      </c>
      <c r="F24" s="32">
        <f t="shared" si="0"/>
        <v>-2.0699999999999994</v>
      </c>
      <c r="G24" s="14">
        <v>0.51739999999999997</v>
      </c>
      <c r="H24" s="14">
        <v>0.47939999999999999</v>
      </c>
      <c r="I24" s="33">
        <v>0.49959999999999999</v>
      </c>
      <c r="J24" s="18">
        <v>0.31864715892699041</v>
      </c>
      <c r="K24" s="34" t="str">
        <f t="shared" si="1"/>
        <v>Não</v>
      </c>
      <c r="L24" s="35" t="str">
        <f t="shared" si="2"/>
        <v>Não</v>
      </c>
    </row>
    <row r="26" spans="1:12" ht="30" customHeight="1" x14ac:dyDescent="0.25">
      <c r="A26" s="3" t="s">
        <v>81</v>
      </c>
      <c r="B26" s="3" t="s">
        <v>67</v>
      </c>
      <c r="C26" s="3" t="s">
        <v>82</v>
      </c>
      <c r="D26" s="3" t="s">
        <v>83</v>
      </c>
      <c r="E26" s="3" t="s">
        <v>84</v>
      </c>
      <c r="F26" s="3" t="s">
        <v>85</v>
      </c>
    </row>
    <row r="27" spans="1:12" x14ac:dyDescent="0.25">
      <c r="A27" s="24" t="s">
        <v>86</v>
      </c>
      <c r="B27" s="24" t="s">
        <v>77</v>
      </c>
      <c r="C27" s="36">
        <v>83</v>
      </c>
      <c r="D27" s="36">
        <v>101</v>
      </c>
      <c r="E27" s="37">
        <v>0.20999553888817291</v>
      </c>
      <c r="F27" s="38" t="str">
        <f t="shared" ref="F27:F32" si="3">IF(E27&lt;0.05,"Sim","Não")</f>
        <v>Não</v>
      </c>
    </row>
    <row r="28" spans="1:12" x14ac:dyDescent="0.25">
      <c r="A28" s="30" t="s">
        <v>86</v>
      </c>
      <c r="B28" s="30" t="s">
        <v>78</v>
      </c>
      <c r="C28" s="39">
        <v>45</v>
      </c>
      <c r="D28" s="39">
        <v>49</v>
      </c>
      <c r="E28" s="40">
        <v>0.75718907414240666</v>
      </c>
      <c r="F28" s="41" t="str">
        <f t="shared" si="3"/>
        <v>Não</v>
      </c>
    </row>
    <row r="29" spans="1:12" x14ac:dyDescent="0.25">
      <c r="A29" s="24" t="s">
        <v>87</v>
      </c>
      <c r="B29" s="24" t="s">
        <v>77</v>
      </c>
      <c r="C29" s="36">
        <v>91</v>
      </c>
      <c r="D29" s="36">
        <v>105</v>
      </c>
      <c r="E29" s="37">
        <v>0.35314085510666438</v>
      </c>
      <c r="F29" s="38" t="str">
        <f t="shared" si="3"/>
        <v>Não</v>
      </c>
    </row>
    <row r="30" spans="1:12" x14ac:dyDescent="0.25">
      <c r="A30" s="30" t="s">
        <v>87</v>
      </c>
      <c r="B30" s="30" t="s">
        <v>78</v>
      </c>
      <c r="C30" s="39">
        <v>53</v>
      </c>
      <c r="D30" s="39">
        <v>50</v>
      </c>
      <c r="E30" s="40">
        <v>0.84389765525286142</v>
      </c>
      <c r="F30" s="41" t="str">
        <f t="shared" si="3"/>
        <v>Não</v>
      </c>
    </row>
    <row r="31" spans="1:12" x14ac:dyDescent="0.25">
      <c r="A31" s="24" t="s">
        <v>88</v>
      </c>
      <c r="B31" s="24" t="s">
        <v>77</v>
      </c>
      <c r="C31" s="36">
        <v>8</v>
      </c>
      <c r="D31" s="36">
        <v>12</v>
      </c>
      <c r="E31" s="37">
        <v>0.50344467163085938</v>
      </c>
      <c r="F31" s="38" t="str">
        <f t="shared" si="3"/>
        <v>Não</v>
      </c>
    </row>
    <row r="32" spans="1:12" x14ac:dyDescent="0.25">
      <c r="A32" s="30" t="s">
        <v>88</v>
      </c>
      <c r="B32" s="30" t="s">
        <v>78</v>
      </c>
      <c r="C32" s="39">
        <v>17</v>
      </c>
      <c r="D32" s="39">
        <v>24</v>
      </c>
      <c r="E32" s="40">
        <v>0.34888887944907759</v>
      </c>
      <c r="F32" s="41" t="str">
        <f t="shared" si="3"/>
        <v>Não</v>
      </c>
    </row>
    <row r="34" spans="1:12" ht="45.95" customHeight="1" x14ac:dyDescent="0.25">
      <c r="A34" s="42" t="s">
        <v>89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</row>
  </sheetData>
  <mergeCells count="3">
    <mergeCell ref="A1:F1"/>
    <mergeCell ref="A16:C16"/>
    <mergeCell ref="A34:L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4"/>
  <sheetViews>
    <sheetView workbookViewId="0"/>
  </sheetViews>
  <sheetFormatPr defaultRowHeight="15" x14ac:dyDescent="0.25"/>
  <cols>
    <col min="1" max="1" width="42" customWidth="1"/>
    <col min="2" max="2" width="10" customWidth="1"/>
    <col min="3" max="4" width="9" customWidth="1"/>
    <col min="5" max="5" width="10" customWidth="1"/>
    <col min="6" max="6" width="12" customWidth="1"/>
    <col min="7" max="7" width="10" customWidth="1"/>
    <col min="8" max="8" width="9" customWidth="1"/>
    <col min="9" max="9" width="8" customWidth="1"/>
    <col min="10" max="11" width="10" customWidth="1"/>
    <col min="12" max="12" width="11" customWidth="1"/>
  </cols>
  <sheetData>
    <row r="1" spans="1:6" ht="18" x14ac:dyDescent="0.25">
      <c r="A1" s="45" t="s">
        <v>100</v>
      </c>
      <c r="B1" s="43"/>
      <c r="C1" s="43"/>
      <c r="D1" s="43"/>
      <c r="E1" s="43"/>
      <c r="F1" s="43"/>
    </row>
    <row r="3" spans="1:6" x14ac:dyDescent="0.25">
      <c r="A3" s="20" t="s">
        <v>53</v>
      </c>
      <c r="B3" s="21">
        <v>2.9020000000000001E-2</v>
      </c>
    </row>
    <row r="4" spans="1:6" x14ac:dyDescent="0.25">
      <c r="A4" s="20" t="s">
        <v>54</v>
      </c>
      <c r="B4" s="22">
        <v>60.2</v>
      </c>
    </row>
    <row r="5" spans="1:6" x14ac:dyDescent="0.25">
      <c r="A5" s="20" t="s">
        <v>55</v>
      </c>
      <c r="B5" s="23">
        <v>124802</v>
      </c>
    </row>
    <row r="6" spans="1:6" x14ac:dyDescent="0.25">
      <c r="A6" s="20" t="s">
        <v>56</v>
      </c>
      <c r="B6" s="23">
        <v>121069</v>
      </c>
    </row>
    <row r="7" spans="1:6" x14ac:dyDescent="0.25">
      <c r="A7" s="20" t="s">
        <v>57</v>
      </c>
      <c r="B7" s="23">
        <v>2434</v>
      </c>
    </row>
    <row r="8" spans="1:6" x14ac:dyDescent="0.25">
      <c r="A8" s="20" t="s">
        <v>58</v>
      </c>
      <c r="B8" s="23">
        <v>1299</v>
      </c>
    </row>
    <row r="9" spans="1:6" x14ac:dyDescent="0.25">
      <c r="A9" s="20" t="s">
        <v>59</v>
      </c>
      <c r="B9" s="23">
        <v>3584166460</v>
      </c>
    </row>
    <row r="10" spans="1:6" x14ac:dyDescent="0.25">
      <c r="A10" s="20" t="s">
        <v>60</v>
      </c>
      <c r="B10" s="23">
        <v>28718.799999999999</v>
      </c>
    </row>
    <row r="11" spans="1:6" x14ac:dyDescent="0.25">
      <c r="A11" s="20" t="s">
        <v>61</v>
      </c>
      <c r="B11" s="23">
        <v>19</v>
      </c>
    </row>
    <row r="12" spans="1:6" x14ac:dyDescent="0.25">
      <c r="A12" s="20" t="s">
        <v>62</v>
      </c>
      <c r="B12" s="23">
        <v>128</v>
      </c>
    </row>
    <row r="13" spans="1:6" x14ac:dyDescent="0.25">
      <c r="A13" s="20" t="s">
        <v>63</v>
      </c>
      <c r="B13" s="23">
        <v>579</v>
      </c>
    </row>
    <row r="14" spans="1:6" x14ac:dyDescent="0.25">
      <c r="A14" s="20" t="s">
        <v>64</v>
      </c>
      <c r="B14" s="21">
        <v>0.52680000000000005</v>
      </c>
    </row>
    <row r="16" spans="1:6" x14ac:dyDescent="0.25">
      <c r="A16" s="46" t="s">
        <v>65</v>
      </c>
      <c r="B16" s="43"/>
      <c r="C16" s="43"/>
      <c r="D16" s="2">
        <f>0.05/60</f>
        <v>8.3333333333333339E-4</v>
      </c>
    </row>
    <row r="18" spans="1:12" ht="30" customHeight="1" x14ac:dyDescent="0.25">
      <c r="A18" s="3" t="s">
        <v>66</v>
      </c>
      <c r="B18" s="3" t="s">
        <v>67</v>
      </c>
      <c r="C18" s="3" t="s">
        <v>68</v>
      </c>
      <c r="D18" s="3" t="s">
        <v>12</v>
      </c>
      <c r="E18" s="3" t="s">
        <v>69</v>
      </c>
      <c r="F18" s="3" t="s">
        <v>70</v>
      </c>
      <c r="G18" s="3" t="s">
        <v>71</v>
      </c>
      <c r="H18" s="3" t="s">
        <v>72</v>
      </c>
      <c r="I18" s="3" t="s">
        <v>73</v>
      </c>
      <c r="J18" s="3" t="s">
        <v>74</v>
      </c>
      <c r="K18" s="3" t="s">
        <v>75</v>
      </c>
      <c r="L18" s="3" t="s">
        <v>14</v>
      </c>
    </row>
    <row r="19" spans="1:12" x14ac:dyDescent="0.25">
      <c r="A19" s="24" t="s">
        <v>76</v>
      </c>
      <c r="B19" s="24" t="s">
        <v>77</v>
      </c>
      <c r="C19" s="25">
        <v>579</v>
      </c>
      <c r="D19" s="6">
        <v>0.52680000000000005</v>
      </c>
      <c r="E19" s="6">
        <v>0.48699999999999999</v>
      </c>
      <c r="F19" s="26">
        <f t="shared" ref="F19:F24" si="0">(E19-D19)*100</f>
        <v>-3.9800000000000058</v>
      </c>
      <c r="G19" s="6">
        <v>0.58699999999999997</v>
      </c>
      <c r="H19" s="6">
        <v>0.15379999999999999</v>
      </c>
      <c r="I19" s="27">
        <v>0.4637</v>
      </c>
      <c r="J19" s="10">
        <v>6.0998805568729247E-2</v>
      </c>
      <c r="K19" s="28" t="str">
        <f t="shared" ref="K19:K24" si="1">IF(J19&lt;0.05,"Sim","Não")</f>
        <v>Não</v>
      </c>
      <c r="L19" s="29" t="str">
        <f t="shared" ref="L19:L24" si="2">IF(J19&lt;$D$16,"Sim","Não")</f>
        <v>Não</v>
      </c>
    </row>
    <row r="20" spans="1:12" x14ac:dyDescent="0.25">
      <c r="A20" s="30" t="s">
        <v>76</v>
      </c>
      <c r="B20" s="30" t="s">
        <v>78</v>
      </c>
      <c r="C20" s="31">
        <v>579</v>
      </c>
      <c r="D20" s="14">
        <v>0.52680000000000005</v>
      </c>
      <c r="E20" s="14">
        <v>0.52159999999999995</v>
      </c>
      <c r="F20" s="32">
        <f t="shared" si="0"/>
        <v>-0.52000000000000934</v>
      </c>
      <c r="G20" s="14">
        <v>0.56140000000000001</v>
      </c>
      <c r="H20" s="14">
        <v>0.4803</v>
      </c>
      <c r="I20" s="33">
        <v>0.51580000000000004</v>
      </c>
      <c r="J20" s="18">
        <v>0.80298762306179317</v>
      </c>
      <c r="K20" s="34" t="str">
        <f t="shared" si="1"/>
        <v>Não</v>
      </c>
      <c r="L20" s="35" t="str">
        <f t="shared" si="2"/>
        <v>Não</v>
      </c>
    </row>
    <row r="21" spans="1:12" x14ac:dyDescent="0.25">
      <c r="A21" s="24" t="s">
        <v>79</v>
      </c>
      <c r="B21" s="24" t="s">
        <v>77</v>
      </c>
      <c r="C21" s="25">
        <v>579</v>
      </c>
      <c r="D21" s="6">
        <v>0.52680000000000005</v>
      </c>
      <c r="E21" s="6">
        <v>0.49049999999999999</v>
      </c>
      <c r="F21" s="26">
        <f t="shared" si="0"/>
        <v>-3.6300000000000052</v>
      </c>
      <c r="G21" s="6">
        <v>0.5625</v>
      </c>
      <c r="H21" s="6">
        <v>0.23380000000000001</v>
      </c>
      <c r="I21" s="27">
        <v>0.46899999999999997</v>
      </c>
      <c r="J21" s="10">
        <v>8.7854883684029189E-2</v>
      </c>
      <c r="K21" s="28" t="str">
        <f t="shared" si="1"/>
        <v>Não</v>
      </c>
      <c r="L21" s="29" t="str">
        <f t="shared" si="2"/>
        <v>Não</v>
      </c>
    </row>
    <row r="22" spans="1:12" x14ac:dyDescent="0.25">
      <c r="A22" s="30" t="s">
        <v>79</v>
      </c>
      <c r="B22" s="30" t="s">
        <v>78</v>
      </c>
      <c r="C22" s="31">
        <v>579</v>
      </c>
      <c r="D22" s="14">
        <v>0.52680000000000005</v>
      </c>
      <c r="E22" s="14">
        <v>0.50090000000000001</v>
      </c>
      <c r="F22" s="32">
        <f t="shared" si="0"/>
        <v>-2.5900000000000034</v>
      </c>
      <c r="G22" s="14">
        <v>0.53280000000000005</v>
      </c>
      <c r="H22" s="14">
        <v>0.47360000000000002</v>
      </c>
      <c r="I22" s="33">
        <v>0.51549999999999996</v>
      </c>
      <c r="J22" s="18">
        <v>0.212168296747719</v>
      </c>
      <c r="K22" s="34" t="str">
        <f t="shared" si="1"/>
        <v>Não</v>
      </c>
      <c r="L22" s="35" t="str">
        <f t="shared" si="2"/>
        <v>Não</v>
      </c>
    </row>
    <row r="23" spans="1:12" x14ac:dyDescent="0.25">
      <c r="A23" s="24" t="s">
        <v>80</v>
      </c>
      <c r="B23" s="24" t="s">
        <v>77</v>
      </c>
      <c r="C23" s="25">
        <v>579</v>
      </c>
      <c r="D23" s="6">
        <v>0.52680000000000005</v>
      </c>
      <c r="E23" s="6">
        <v>0.47320000000000001</v>
      </c>
      <c r="F23" s="26">
        <f t="shared" si="0"/>
        <v>-5.3600000000000039</v>
      </c>
      <c r="G23" s="6">
        <v>0.5</v>
      </c>
      <c r="H23" s="6">
        <v>0.1003</v>
      </c>
      <c r="I23" s="27">
        <v>0.48530000000000001</v>
      </c>
      <c r="J23" s="10">
        <v>1.106268859888029E-2</v>
      </c>
      <c r="K23" s="28" t="str">
        <f t="shared" si="1"/>
        <v>Sim</v>
      </c>
      <c r="L23" s="29" t="str">
        <f t="shared" si="2"/>
        <v>Não</v>
      </c>
    </row>
    <row r="24" spans="1:12" x14ac:dyDescent="0.25">
      <c r="A24" s="30" t="s">
        <v>80</v>
      </c>
      <c r="B24" s="30" t="s">
        <v>78</v>
      </c>
      <c r="C24" s="31">
        <v>579</v>
      </c>
      <c r="D24" s="14">
        <v>0.52680000000000005</v>
      </c>
      <c r="E24" s="14">
        <v>0.48699999999999999</v>
      </c>
      <c r="F24" s="32">
        <f t="shared" si="0"/>
        <v>-3.9800000000000058</v>
      </c>
      <c r="G24" s="14">
        <v>0.51800000000000002</v>
      </c>
      <c r="H24" s="14">
        <v>0.43640000000000001</v>
      </c>
      <c r="I24" s="33">
        <v>0.50980000000000003</v>
      </c>
      <c r="J24" s="18">
        <v>6.0998805568729247E-2</v>
      </c>
      <c r="K24" s="34" t="str">
        <f t="shared" si="1"/>
        <v>Não</v>
      </c>
      <c r="L24" s="35" t="str">
        <f t="shared" si="2"/>
        <v>Não</v>
      </c>
    </row>
    <row r="26" spans="1:12" ht="30" customHeight="1" x14ac:dyDescent="0.25">
      <c r="A26" s="3" t="s">
        <v>81</v>
      </c>
      <c r="B26" s="3" t="s">
        <v>67</v>
      </c>
      <c r="C26" s="3" t="s">
        <v>82</v>
      </c>
      <c r="D26" s="3" t="s">
        <v>83</v>
      </c>
      <c r="E26" s="3" t="s">
        <v>84</v>
      </c>
      <c r="F26" s="3" t="s">
        <v>85</v>
      </c>
    </row>
    <row r="27" spans="1:12" x14ac:dyDescent="0.25">
      <c r="A27" s="24" t="s">
        <v>86</v>
      </c>
      <c r="B27" s="24" t="s">
        <v>77</v>
      </c>
      <c r="C27" s="36">
        <v>8</v>
      </c>
      <c r="D27" s="36">
        <v>16</v>
      </c>
      <c r="E27" s="37">
        <v>0.15158963203430181</v>
      </c>
      <c r="F27" s="38" t="str">
        <f t="shared" ref="F27:F32" si="3">IF(E27&lt;0.05,"Sim","Não")</f>
        <v>Não</v>
      </c>
    </row>
    <row r="28" spans="1:12" x14ac:dyDescent="0.25">
      <c r="A28" s="30" t="s">
        <v>86</v>
      </c>
      <c r="B28" s="30" t="s">
        <v>78</v>
      </c>
      <c r="C28" s="39">
        <v>58</v>
      </c>
      <c r="D28" s="39">
        <v>78</v>
      </c>
      <c r="E28" s="40">
        <v>0.1029131849974322</v>
      </c>
      <c r="F28" s="41" t="str">
        <f t="shared" si="3"/>
        <v>Não</v>
      </c>
    </row>
    <row r="29" spans="1:12" x14ac:dyDescent="0.25">
      <c r="A29" s="24" t="s">
        <v>87</v>
      </c>
      <c r="B29" s="24" t="s">
        <v>77</v>
      </c>
      <c r="C29" s="36">
        <v>37</v>
      </c>
      <c r="D29" s="36">
        <v>35</v>
      </c>
      <c r="E29" s="37">
        <v>0.90629432470308102</v>
      </c>
      <c r="F29" s="38" t="str">
        <f t="shared" si="3"/>
        <v>Não</v>
      </c>
    </row>
    <row r="30" spans="1:12" x14ac:dyDescent="0.25">
      <c r="A30" s="30" t="s">
        <v>87</v>
      </c>
      <c r="B30" s="30" t="s">
        <v>78</v>
      </c>
      <c r="C30" s="39">
        <v>60</v>
      </c>
      <c r="D30" s="39">
        <v>72</v>
      </c>
      <c r="E30" s="40">
        <v>0.33838023893982472</v>
      </c>
      <c r="F30" s="41" t="str">
        <f t="shared" si="3"/>
        <v>Não</v>
      </c>
    </row>
    <row r="31" spans="1:12" x14ac:dyDescent="0.25">
      <c r="A31" s="24" t="s">
        <v>88</v>
      </c>
      <c r="B31" s="24" t="s">
        <v>77</v>
      </c>
      <c r="C31" s="36">
        <v>23</v>
      </c>
      <c r="D31" s="36">
        <v>33</v>
      </c>
      <c r="E31" s="37">
        <v>0.22880554123435609</v>
      </c>
      <c r="F31" s="38" t="str">
        <f t="shared" si="3"/>
        <v>Não</v>
      </c>
    </row>
    <row r="32" spans="1:12" x14ac:dyDescent="0.25">
      <c r="A32" s="30" t="s">
        <v>88</v>
      </c>
      <c r="B32" s="30" t="s">
        <v>78</v>
      </c>
      <c r="C32" s="39">
        <v>38</v>
      </c>
      <c r="D32" s="39">
        <v>46</v>
      </c>
      <c r="E32" s="40">
        <v>0.44520466904657607</v>
      </c>
      <c r="F32" s="41" t="str">
        <f t="shared" si="3"/>
        <v>Não</v>
      </c>
    </row>
    <row r="34" spans="1:12" ht="45.95" customHeight="1" x14ac:dyDescent="0.25">
      <c r="A34" s="42" t="s">
        <v>89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</row>
  </sheetData>
  <mergeCells count="3">
    <mergeCell ref="A1:F1"/>
    <mergeCell ref="A16:C16"/>
    <mergeCell ref="A34:L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4"/>
  <sheetViews>
    <sheetView workbookViewId="0"/>
  </sheetViews>
  <sheetFormatPr defaultRowHeight="15" x14ac:dyDescent="0.25"/>
  <cols>
    <col min="1" max="1" width="42" customWidth="1"/>
    <col min="2" max="2" width="10" customWidth="1"/>
    <col min="3" max="4" width="9" customWidth="1"/>
    <col min="5" max="5" width="10" customWidth="1"/>
    <col min="6" max="6" width="12" customWidth="1"/>
    <col min="7" max="7" width="10" customWidth="1"/>
    <col min="8" max="8" width="9" customWidth="1"/>
    <col min="9" max="9" width="8" customWidth="1"/>
    <col min="10" max="11" width="10" customWidth="1"/>
    <col min="12" max="12" width="11" customWidth="1"/>
  </cols>
  <sheetData>
    <row r="1" spans="1:6" ht="18" x14ac:dyDescent="0.25">
      <c r="A1" s="45" t="s">
        <v>101</v>
      </c>
      <c r="B1" s="43"/>
      <c r="C1" s="43"/>
      <c r="D1" s="43"/>
      <c r="E1" s="43"/>
      <c r="F1" s="43"/>
    </row>
    <row r="3" spans="1:6" x14ac:dyDescent="0.25">
      <c r="A3" s="20" t="s">
        <v>53</v>
      </c>
      <c r="B3" s="21">
        <v>2.495E-2</v>
      </c>
    </row>
    <row r="4" spans="1:6" x14ac:dyDescent="0.25">
      <c r="A4" s="20" t="s">
        <v>54</v>
      </c>
      <c r="B4" s="22">
        <v>22.04</v>
      </c>
    </row>
    <row r="5" spans="1:6" x14ac:dyDescent="0.25">
      <c r="A5" s="20" t="s">
        <v>102</v>
      </c>
      <c r="B5" s="23">
        <v>1551254</v>
      </c>
    </row>
    <row r="6" spans="1:6" x14ac:dyDescent="0.25">
      <c r="A6" s="20" t="s">
        <v>56</v>
      </c>
      <c r="B6" s="23">
        <v>1537290</v>
      </c>
    </row>
    <row r="7" spans="1:6" x14ac:dyDescent="0.25">
      <c r="A7" s="20" t="s">
        <v>57</v>
      </c>
      <c r="B7" s="23">
        <v>13124</v>
      </c>
    </row>
    <row r="8" spans="1:6" x14ac:dyDescent="0.25">
      <c r="A8" s="20" t="s">
        <v>58</v>
      </c>
      <c r="B8" s="23">
        <v>840</v>
      </c>
    </row>
    <row r="9" spans="1:6" x14ac:dyDescent="0.25">
      <c r="A9" s="20" t="s">
        <v>59</v>
      </c>
      <c r="B9" s="23">
        <v>2842760965</v>
      </c>
    </row>
    <row r="10" spans="1:6" x14ac:dyDescent="0.25">
      <c r="A10" s="20" t="s">
        <v>60</v>
      </c>
      <c r="B10" s="23">
        <v>1832.6</v>
      </c>
    </row>
    <row r="11" spans="1:6" x14ac:dyDescent="0.25">
      <c r="A11" s="20" t="s">
        <v>61</v>
      </c>
      <c r="B11" s="23">
        <v>114</v>
      </c>
    </row>
    <row r="12" spans="1:6" x14ac:dyDescent="0.25">
      <c r="A12" s="20" t="s">
        <v>62</v>
      </c>
      <c r="B12" s="23">
        <v>440</v>
      </c>
    </row>
    <row r="13" spans="1:6" x14ac:dyDescent="0.25">
      <c r="A13" s="20" t="s">
        <v>63</v>
      </c>
      <c r="B13" s="23">
        <v>579</v>
      </c>
    </row>
    <row r="14" spans="1:6" x14ac:dyDescent="0.25">
      <c r="A14" s="20" t="s">
        <v>64</v>
      </c>
      <c r="B14" s="21">
        <v>0.50260000000000005</v>
      </c>
    </row>
    <row r="16" spans="1:6" x14ac:dyDescent="0.25">
      <c r="A16" s="46" t="s">
        <v>65</v>
      </c>
      <c r="B16" s="43"/>
      <c r="C16" s="43"/>
      <c r="D16" s="2">
        <f>0.05/60</f>
        <v>8.3333333333333339E-4</v>
      </c>
    </row>
    <row r="18" spans="1:12" ht="30" customHeight="1" x14ac:dyDescent="0.25">
      <c r="A18" s="3" t="s">
        <v>66</v>
      </c>
      <c r="B18" s="3" t="s">
        <v>67</v>
      </c>
      <c r="C18" s="3" t="s">
        <v>68</v>
      </c>
      <c r="D18" s="3" t="s">
        <v>12</v>
      </c>
      <c r="E18" s="3" t="s">
        <v>69</v>
      </c>
      <c r="F18" s="3" t="s">
        <v>70</v>
      </c>
      <c r="G18" s="3" t="s">
        <v>71</v>
      </c>
      <c r="H18" s="3" t="s">
        <v>72</v>
      </c>
      <c r="I18" s="3" t="s">
        <v>73</v>
      </c>
      <c r="J18" s="3" t="s">
        <v>74</v>
      </c>
      <c r="K18" s="3" t="s">
        <v>75</v>
      </c>
      <c r="L18" s="3" t="s">
        <v>14</v>
      </c>
    </row>
    <row r="19" spans="1:12" x14ac:dyDescent="0.25">
      <c r="A19" s="24" t="s">
        <v>76</v>
      </c>
      <c r="B19" s="24" t="s">
        <v>77</v>
      </c>
      <c r="C19" s="25">
        <v>579</v>
      </c>
      <c r="D19" s="6">
        <v>0.50260000000000005</v>
      </c>
      <c r="E19" s="6">
        <v>0.50600000000000001</v>
      </c>
      <c r="F19" s="26">
        <f t="shared" ref="F19:F24" si="0">(E19-D19)*100</f>
        <v>0.33999999999999586</v>
      </c>
      <c r="G19" s="6">
        <v>0.50549999999999995</v>
      </c>
      <c r="H19" s="6">
        <v>0.61560000000000004</v>
      </c>
      <c r="I19" s="27">
        <v>0.50560000000000005</v>
      </c>
      <c r="J19" s="10">
        <v>0.90079295668659998</v>
      </c>
      <c r="K19" s="28" t="str">
        <f t="shared" ref="K19:K24" si="1">IF(J19&lt;0.05,"Sim","Não")</f>
        <v>Não</v>
      </c>
      <c r="L19" s="29" t="str">
        <f t="shared" ref="L19:L24" si="2">IF(J19&lt;$D$16,"Sim","Não")</f>
        <v>Não</v>
      </c>
    </row>
    <row r="20" spans="1:12" x14ac:dyDescent="0.25">
      <c r="A20" s="30" t="s">
        <v>76</v>
      </c>
      <c r="B20" s="30" t="s">
        <v>78</v>
      </c>
      <c r="C20" s="31">
        <v>579</v>
      </c>
      <c r="D20" s="14">
        <v>0.50260000000000005</v>
      </c>
      <c r="E20" s="14">
        <v>0.47670000000000001</v>
      </c>
      <c r="F20" s="32">
        <f t="shared" si="0"/>
        <v>-2.5900000000000034</v>
      </c>
      <c r="G20" s="14">
        <v>0.4824</v>
      </c>
      <c r="H20" s="14">
        <v>0.51980000000000004</v>
      </c>
      <c r="I20" s="33">
        <v>0.46310000000000001</v>
      </c>
      <c r="J20" s="18">
        <v>0.2128368170938118</v>
      </c>
      <c r="K20" s="34" t="str">
        <f t="shared" si="1"/>
        <v>Não</v>
      </c>
      <c r="L20" s="35" t="str">
        <f t="shared" si="2"/>
        <v>Não</v>
      </c>
    </row>
    <row r="21" spans="1:12" x14ac:dyDescent="0.25">
      <c r="A21" s="24" t="s">
        <v>79</v>
      </c>
      <c r="B21" s="24" t="s">
        <v>77</v>
      </c>
      <c r="C21" s="25">
        <v>579</v>
      </c>
      <c r="D21" s="6">
        <v>0.50260000000000005</v>
      </c>
      <c r="E21" s="6">
        <v>0.50780000000000003</v>
      </c>
      <c r="F21" s="26">
        <f t="shared" si="0"/>
        <v>0.51999999999999824</v>
      </c>
      <c r="G21" s="6">
        <v>0.50560000000000005</v>
      </c>
      <c r="H21" s="6">
        <v>0.65700000000000003</v>
      </c>
      <c r="I21" s="27">
        <v>0.50570000000000004</v>
      </c>
      <c r="J21" s="10">
        <v>0.83541089532300994</v>
      </c>
      <c r="K21" s="28" t="str">
        <f t="shared" si="1"/>
        <v>Não</v>
      </c>
      <c r="L21" s="29" t="str">
        <f t="shared" si="2"/>
        <v>Não</v>
      </c>
    </row>
    <row r="22" spans="1:12" x14ac:dyDescent="0.25">
      <c r="A22" s="30" t="s">
        <v>79</v>
      </c>
      <c r="B22" s="30" t="s">
        <v>78</v>
      </c>
      <c r="C22" s="31">
        <v>579</v>
      </c>
      <c r="D22" s="14">
        <v>0.50260000000000005</v>
      </c>
      <c r="E22" s="14">
        <v>0.48359999999999997</v>
      </c>
      <c r="F22" s="32">
        <f t="shared" si="0"/>
        <v>-1.9000000000000072</v>
      </c>
      <c r="G22" s="14">
        <v>0.48780000000000001</v>
      </c>
      <c r="H22" s="14">
        <v>0.51700000000000002</v>
      </c>
      <c r="I22" s="33">
        <v>0.46410000000000001</v>
      </c>
      <c r="J22" s="18">
        <v>0.36098153023715901</v>
      </c>
      <c r="K22" s="34" t="str">
        <f t="shared" si="1"/>
        <v>Não</v>
      </c>
      <c r="L22" s="35" t="str">
        <f t="shared" si="2"/>
        <v>Não</v>
      </c>
    </row>
    <row r="23" spans="1:12" x14ac:dyDescent="0.25">
      <c r="A23" s="24" t="s">
        <v>80</v>
      </c>
      <c r="B23" s="24" t="s">
        <v>77</v>
      </c>
      <c r="C23" s="25">
        <v>579</v>
      </c>
      <c r="D23" s="6">
        <v>0.50260000000000005</v>
      </c>
      <c r="E23" s="6">
        <v>0.50600000000000001</v>
      </c>
      <c r="F23" s="26">
        <f t="shared" si="0"/>
        <v>0.33999999999999586</v>
      </c>
      <c r="G23" s="6">
        <v>0.50439999999999996</v>
      </c>
      <c r="H23" s="6">
        <v>0.66739999999999999</v>
      </c>
      <c r="I23" s="27">
        <v>0.48780000000000001</v>
      </c>
      <c r="J23" s="10">
        <v>0.90079295668659998</v>
      </c>
      <c r="K23" s="28" t="str">
        <f t="shared" si="1"/>
        <v>Não</v>
      </c>
      <c r="L23" s="29" t="str">
        <f t="shared" si="2"/>
        <v>Não</v>
      </c>
    </row>
    <row r="24" spans="1:12" x14ac:dyDescent="0.25">
      <c r="A24" s="30" t="s">
        <v>80</v>
      </c>
      <c r="B24" s="30" t="s">
        <v>78</v>
      </c>
      <c r="C24" s="31">
        <v>579</v>
      </c>
      <c r="D24" s="14">
        <v>0.50260000000000005</v>
      </c>
      <c r="E24" s="14">
        <v>0.49220000000000003</v>
      </c>
      <c r="F24" s="32">
        <f t="shared" si="0"/>
        <v>-1.040000000000002</v>
      </c>
      <c r="G24" s="14">
        <v>0.49559999999999998</v>
      </c>
      <c r="H24" s="14">
        <v>0.5363</v>
      </c>
      <c r="I24" s="33">
        <v>0.4788</v>
      </c>
      <c r="J24" s="18">
        <v>0.61832218986335841</v>
      </c>
      <c r="K24" s="34" t="str">
        <f t="shared" si="1"/>
        <v>Não</v>
      </c>
      <c r="L24" s="35" t="str">
        <f t="shared" si="2"/>
        <v>Não</v>
      </c>
    </row>
    <row r="26" spans="1:12" ht="30" customHeight="1" x14ac:dyDescent="0.25">
      <c r="A26" s="3" t="s">
        <v>81</v>
      </c>
      <c r="B26" s="3" t="s">
        <v>67</v>
      </c>
      <c r="C26" s="3" t="s">
        <v>82</v>
      </c>
      <c r="D26" s="3" t="s">
        <v>83</v>
      </c>
      <c r="E26" s="3" t="s">
        <v>84</v>
      </c>
      <c r="F26" s="3" t="s">
        <v>85</v>
      </c>
    </row>
    <row r="27" spans="1:12" x14ac:dyDescent="0.25">
      <c r="A27" s="24" t="s">
        <v>86</v>
      </c>
      <c r="B27" s="24" t="s">
        <v>77</v>
      </c>
      <c r="C27" s="36">
        <v>66</v>
      </c>
      <c r="D27" s="36">
        <v>66</v>
      </c>
      <c r="E27" s="37">
        <v>1</v>
      </c>
      <c r="F27" s="38" t="str">
        <f t="shared" ref="F27:F32" si="3">IF(E27&lt;0.05,"Sim","Não")</f>
        <v>Não</v>
      </c>
    </row>
    <row r="28" spans="1:12" x14ac:dyDescent="0.25">
      <c r="A28" s="30" t="s">
        <v>86</v>
      </c>
      <c r="B28" s="30" t="s">
        <v>78</v>
      </c>
      <c r="C28" s="39">
        <v>53</v>
      </c>
      <c r="D28" s="39">
        <v>44</v>
      </c>
      <c r="E28" s="40">
        <v>0.41677484108909879</v>
      </c>
      <c r="F28" s="41" t="str">
        <f t="shared" si="3"/>
        <v>Não</v>
      </c>
    </row>
    <row r="29" spans="1:12" x14ac:dyDescent="0.25">
      <c r="A29" s="24" t="s">
        <v>87</v>
      </c>
      <c r="B29" s="24" t="s">
        <v>77</v>
      </c>
      <c r="C29" s="36">
        <v>74</v>
      </c>
      <c r="D29" s="36">
        <v>73</v>
      </c>
      <c r="E29" s="37">
        <v>1</v>
      </c>
      <c r="F29" s="38" t="str">
        <f t="shared" si="3"/>
        <v>Não</v>
      </c>
    </row>
    <row r="30" spans="1:12" x14ac:dyDescent="0.25">
      <c r="A30" s="30" t="s">
        <v>87</v>
      </c>
      <c r="B30" s="30" t="s">
        <v>78</v>
      </c>
      <c r="C30" s="39">
        <v>59</v>
      </c>
      <c r="D30" s="39">
        <v>55</v>
      </c>
      <c r="E30" s="40">
        <v>0.77887609200270114</v>
      </c>
      <c r="F30" s="41" t="str">
        <f t="shared" si="3"/>
        <v>Não</v>
      </c>
    </row>
    <row r="31" spans="1:12" x14ac:dyDescent="0.25">
      <c r="A31" s="24" t="s">
        <v>88</v>
      </c>
      <c r="B31" s="24" t="s">
        <v>77</v>
      </c>
      <c r="C31" s="36">
        <v>16</v>
      </c>
      <c r="D31" s="36">
        <v>17</v>
      </c>
      <c r="E31" s="37">
        <v>1</v>
      </c>
      <c r="F31" s="38" t="str">
        <f t="shared" si="3"/>
        <v>Não</v>
      </c>
    </row>
    <row r="32" spans="1:12" x14ac:dyDescent="0.25">
      <c r="A32" s="30" t="s">
        <v>88</v>
      </c>
      <c r="B32" s="30" t="s">
        <v>78</v>
      </c>
      <c r="C32" s="39">
        <v>28</v>
      </c>
      <c r="D32" s="39">
        <v>23</v>
      </c>
      <c r="E32" s="40">
        <v>0.57584934773184671</v>
      </c>
      <c r="F32" s="41" t="str">
        <f t="shared" si="3"/>
        <v>Não</v>
      </c>
    </row>
    <row r="34" spans="1:12" ht="45.95" customHeight="1" x14ac:dyDescent="0.25">
      <c r="A34" s="42" t="s">
        <v>89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</row>
  </sheetData>
  <mergeCells count="3">
    <mergeCell ref="A1:F1"/>
    <mergeCell ref="A16:C16"/>
    <mergeCell ref="A34:L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4"/>
  <sheetViews>
    <sheetView workbookViewId="0"/>
  </sheetViews>
  <sheetFormatPr defaultRowHeight="15" x14ac:dyDescent="0.25"/>
  <cols>
    <col min="1" max="1" width="42" customWidth="1"/>
    <col min="2" max="2" width="10" customWidth="1"/>
    <col min="3" max="4" width="9" customWidth="1"/>
    <col min="5" max="5" width="10" customWidth="1"/>
    <col min="6" max="6" width="12" customWidth="1"/>
    <col min="7" max="7" width="10" customWidth="1"/>
    <col min="8" max="8" width="9" customWidth="1"/>
    <col min="9" max="9" width="8" customWidth="1"/>
    <col min="10" max="11" width="10" customWidth="1"/>
    <col min="12" max="12" width="11" customWidth="1"/>
  </cols>
  <sheetData>
    <row r="1" spans="1:6" ht="18" x14ac:dyDescent="0.25">
      <c r="A1" s="45" t="s">
        <v>103</v>
      </c>
      <c r="B1" s="43"/>
      <c r="C1" s="43"/>
      <c r="D1" s="43"/>
      <c r="E1" s="43"/>
      <c r="F1" s="43"/>
    </row>
    <row r="3" spans="1:6" x14ac:dyDescent="0.25">
      <c r="A3" s="20" t="s">
        <v>53</v>
      </c>
      <c r="B3" s="21">
        <v>2.3769999999999999E-2</v>
      </c>
    </row>
    <row r="4" spans="1:6" x14ac:dyDescent="0.25">
      <c r="A4" s="20" t="s">
        <v>54</v>
      </c>
      <c r="B4" s="22">
        <v>15.73</v>
      </c>
    </row>
    <row r="5" spans="1:6" x14ac:dyDescent="0.25">
      <c r="A5" s="20" t="s">
        <v>104</v>
      </c>
      <c r="B5" s="23">
        <v>213087</v>
      </c>
    </row>
    <row r="6" spans="1:6" x14ac:dyDescent="0.25">
      <c r="A6" s="20" t="s">
        <v>56</v>
      </c>
      <c r="B6" s="23">
        <v>210589</v>
      </c>
    </row>
    <row r="7" spans="1:6" x14ac:dyDescent="0.25">
      <c r="A7" s="20" t="s">
        <v>57</v>
      </c>
      <c r="B7" s="23">
        <v>1959</v>
      </c>
    </row>
    <row r="8" spans="1:6" x14ac:dyDescent="0.25">
      <c r="A8" s="20" t="s">
        <v>58</v>
      </c>
      <c r="B8" s="23">
        <v>539</v>
      </c>
    </row>
    <row r="9" spans="1:6" x14ac:dyDescent="0.25">
      <c r="A9" s="20" t="s">
        <v>59</v>
      </c>
      <c r="B9" s="23">
        <v>4043349180</v>
      </c>
    </row>
    <row r="10" spans="1:6" x14ac:dyDescent="0.25">
      <c r="A10" s="20" t="s">
        <v>60</v>
      </c>
      <c r="B10" s="23">
        <v>18975.099999999999</v>
      </c>
    </row>
    <row r="11" spans="1:6" x14ac:dyDescent="0.25">
      <c r="A11" s="20" t="s">
        <v>61</v>
      </c>
      <c r="B11" s="23">
        <v>11</v>
      </c>
    </row>
    <row r="12" spans="1:6" x14ac:dyDescent="0.25">
      <c r="A12" s="20" t="s">
        <v>62</v>
      </c>
      <c r="B12" s="23">
        <v>44</v>
      </c>
    </row>
    <row r="13" spans="1:6" x14ac:dyDescent="0.25">
      <c r="A13" s="20" t="s">
        <v>63</v>
      </c>
      <c r="B13" s="23">
        <v>579</v>
      </c>
    </row>
    <row r="14" spans="1:6" x14ac:dyDescent="0.25">
      <c r="A14" s="20" t="s">
        <v>64</v>
      </c>
      <c r="B14" s="21">
        <v>0.50090000000000001</v>
      </c>
    </row>
    <row r="16" spans="1:6" x14ac:dyDescent="0.25">
      <c r="A16" s="46" t="s">
        <v>65</v>
      </c>
      <c r="B16" s="43"/>
      <c r="C16" s="43"/>
      <c r="D16" s="2">
        <f>0.05/60</f>
        <v>8.3333333333333339E-4</v>
      </c>
    </row>
    <row r="18" spans="1:12" ht="30" customHeight="1" x14ac:dyDescent="0.25">
      <c r="A18" s="3" t="s">
        <v>66</v>
      </c>
      <c r="B18" s="3" t="s">
        <v>67</v>
      </c>
      <c r="C18" s="3" t="s">
        <v>68</v>
      </c>
      <c r="D18" s="3" t="s">
        <v>12</v>
      </c>
      <c r="E18" s="3" t="s">
        <v>69</v>
      </c>
      <c r="F18" s="3" t="s">
        <v>70</v>
      </c>
      <c r="G18" s="3" t="s">
        <v>71</v>
      </c>
      <c r="H18" s="3" t="s">
        <v>72</v>
      </c>
      <c r="I18" s="3" t="s">
        <v>73</v>
      </c>
      <c r="J18" s="3" t="s">
        <v>74</v>
      </c>
      <c r="K18" s="3" t="s">
        <v>75</v>
      </c>
      <c r="L18" s="3" t="s">
        <v>14</v>
      </c>
    </row>
    <row r="19" spans="1:12" x14ac:dyDescent="0.25">
      <c r="A19" s="24" t="s">
        <v>76</v>
      </c>
      <c r="B19" s="24" t="s">
        <v>77</v>
      </c>
      <c r="C19" s="25">
        <v>579</v>
      </c>
      <c r="D19" s="6">
        <v>0.50090000000000001</v>
      </c>
      <c r="E19" s="6">
        <v>0.50780000000000003</v>
      </c>
      <c r="F19" s="26">
        <f t="shared" ref="F19:F24" si="0">(E19-D19)*100</f>
        <v>0.69000000000000172</v>
      </c>
      <c r="G19" s="6">
        <v>0.6</v>
      </c>
      <c r="H19" s="6">
        <v>7.7700000000000005E-2</v>
      </c>
      <c r="I19" s="27">
        <v>0.45250000000000001</v>
      </c>
      <c r="J19" s="10">
        <v>0.77114915895354152</v>
      </c>
      <c r="K19" s="28" t="str">
        <f t="shared" ref="K19:K24" si="1">IF(J19&lt;0.05,"Sim","Não")</f>
        <v>Não</v>
      </c>
      <c r="L19" s="29" t="str">
        <f t="shared" ref="L19:L24" si="2">IF(J19&lt;$D$16,"Sim","Não")</f>
        <v>Não</v>
      </c>
    </row>
    <row r="20" spans="1:12" x14ac:dyDescent="0.25">
      <c r="A20" s="30" t="s">
        <v>76</v>
      </c>
      <c r="B20" s="30" t="s">
        <v>78</v>
      </c>
      <c r="C20" s="31">
        <v>579</v>
      </c>
      <c r="D20" s="14">
        <v>0.50090000000000001</v>
      </c>
      <c r="E20" s="14">
        <v>0.53200000000000003</v>
      </c>
      <c r="F20" s="32">
        <f t="shared" si="0"/>
        <v>3.1100000000000017</v>
      </c>
      <c r="G20" s="14">
        <v>0.54330000000000001</v>
      </c>
      <c r="H20" s="14">
        <v>0.45469999999999999</v>
      </c>
      <c r="I20" s="33">
        <v>0.54620000000000002</v>
      </c>
      <c r="J20" s="18">
        <v>0.1457285169171878</v>
      </c>
      <c r="K20" s="34" t="str">
        <f t="shared" si="1"/>
        <v>Não</v>
      </c>
      <c r="L20" s="35" t="str">
        <f t="shared" si="2"/>
        <v>Não</v>
      </c>
    </row>
    <row r="21" spans="1:12" x14ac:dyDescent="0.25">
      <c r="A21" s="24" t="s">
        <v>79</v>
      </c>
      <c r="B21" s="24" t="s">
        <v>77</v>
      </c>
      <c r="C21" s="25">
        <v>579</v>
      </c>
      <c r="D21" s="6">
        <v>0.50090000000000001</v>
      </c>
      <c r="E21" s="6">
        <v>0.50090000000000001</v>
      </c>
      <c r="F21" s="26">
        <f t="shared" si="0"/>
        <v>0</v>
      </c>
      <c r="G21" s="6">
        <v>0.5</v>
      </c>
      <c r="H21" s="6">
        <v>3.9899999999999998E-2</v>
      </c>
      <c r="I21" s="27">
        <v>0.47820000000000001</v>
      </c>
      <c r="J21" s="10">
        <v>1</v>
      </c>
      <c r="K21" s="28" t="str">
        <f t="shared" si="1"/>
        <v>Não</v>
      </c>
      <c r="L21" s="29" t="str">
        <f t="shared" si="2"/>
        <v>Não</v>
      </c>
    </row>
    <row r="22" spans="1:12" x14ac:dyDescent="0.25">
      <c r="A22" s="30" t="s">
        <v>79</v>
      </c>
      <c r="B22" s="30" t="s">
        <v>78</v>
      </c>
      <c r="C22" s="31">
        <v>579</v>
      </c>
      <c r="D22" s="14">
        <v>0.50090000000000001</v>
      </c>
      <c r="E22" s="14">
        <v>0.53539999999999999</v>
      </c>
      <c r="F22" s="32">
        <f t="shared" si="0"/>
        <v>3.4499999999999975</v>
      </c>
      <c r="G22" s="14">
        <v>0.55049999999999999</v>
      </c>
      <c r="H22" s="14">
        <v>0.4476</v>
      </c>
      <c r="I22" s="33">
        <v>0.53249999999999997</v>
      </c>
      <c r="J22" s="18">
        <v>0.1049818689310982</v>
      </c>
      <c r="K22" s="34" t="str">
        <f t="shared" si="1"/>
        <v>Não</v>
      </c>
      <c r="L22" s="35" t="str">
        <f t="shared" si="2"/>
        <v>Não</v>
      </c>
    </row>
    <row r="23" spans="1:12" x14ac:dyDescent="0.25">
      <c r="A23" s="24" t="s">
        <v>80</v>
      </c>
      <c r="B23" s="24" t="s">
        <v>77</v>
      </c>
      <c r="C23" s="25">
        <v>579</v>
      </c>
      <c r="D23" s="6">
        <v>0.50090000000000001</v>
      </c>
      <c r="E23" s="6">
        <v>0.49399999999999999</v>
      </c>
      <c r="F23" s="26">
        <f t="shared" si="0"/>
        <v>-0.69000000000000172</v>
      </c>
      <c r="G23" s="6">
        <v>0.3</v>
      </c>
      <c r="H23" s="6">
        <v>2.01E-2</v>
      </c>
      <c r="I23" s="27">
        <v>0.49459999999999998</v>
      </c>
      <c r="J23" s="10">
        <v>0.73978295245860237</v>
      </c>
      <c r="K23" s="28" t="str">
        <f t="shared" si="1"/>
        <v>Não</v>
      </c>
      <c r="L23" s="29" t="str">
        <f t="shared" si="2"/>
        <v>Não</v>
      </c>
    </row>
    <row r="24" spans="1:12" x14ac:dyDescent="0.25">
      <c r="A24" s="30" t="s">
        <v>80</v>
      </c>
      <c r="B24" s="30" t="s">
        <v>78</v>
      </c>
      <c r="C24" s="31">
        <v>579</v>
      </c>
      <c r="D24" s="14">
        <v>0.50090000000000001</v>
      </c>
      <c r="E24" s="14">
        <v>0.5544</v>
      </c>
      <c r="F24" s="32">
        <f t="shared" si="0"/>
        <v>5.35</v>
      </c>
      <c r="G24" s="14">
        <v>0.5756</v>
      </c>
      <c r="H24" s="14">
        <v>0.47770000000000001</v>
      </c>
      <c r="I24" s="33">
        <v>0.54239999999999999</v>
      </c>
      <c r="J24" s="18">
        <v>9.980250428820777E-3</v>
      </c>
      <c r="K24" s="34" t="str">
        <f t="shared" si="1"/>
        <v>Sim</v>
      </c>
      <c r="L24" s="35" t="str">
        <f t="shared" si="2"/>
        <v>Não</v>
      </c>
    </row>
    <row r="26" spans="1:12" ht="30" customHeight="1" x14ac:dyDescent="0.25">
      <c r="A26" s="3" t="s">
        <v>81</v>
      </c>
      <c r="B26" s="3" t="s">
        <v>67</v>
      </c>
      <c r="C26" s="3" t="s">
        <v>82</v>
      </c>
      <c r="D26" s="3" t="s">
        <v>83</v>
      </c>
      <c r="E26" s="3" t="s">
        <v>84</v>
      </c>
      <c r="F26" s="3" t="s">
        <v>85</v>
      </c>
    </row>
    <row r="27" spans="1:12" x14ac:dyDescent="0.25">
      <c r="A27" s="24" t="s">
        <v>86</v>
      </c>
      <c r="B27" s="24" t="s">
        <v>77</v>
      </c>
      <c r="C27" s="36">
        <v>4</v>
      </c>
      <c r="D27" s="36">
        <v>12</v>
      </c>
      <c r="E27" s="37">
        <v>7.6812744140625E-2</v>
      </c>
      <c r="F27" s="38" t="str">
        <f t="shared" ref="F27:F32" si="3">IF(E27&lt;0.05,"Sim","Não")</f>
        <v>Não</v>
      </c>
    </row>
    <row r="28" spans="1:12" x14ac:dyDescent="0.25">
      <c r="A28" s="30" t="s">
        <v>86</v>
      </c>
      <c r="B28" s="30" t="s">
        <v>78</v>
      </c>
      <c r="C28" s="39">
        <v>45</v>
      </c>
      <c r="D28" s="39">
        <v>32</v>
      </c>
      <c r="E28" s="40">
        <v>0.17106097355391151</v>
      </c>
      <c r="F28" s="41" t="str">
        <f t="shared" si="3"/>
        <v>Não</v>
      </c>
    </row>
    <row r="29" spans="1:12" x14ac:dyDescent="0.25">
      <c r="A29" s="24" t="s">
        <v>87</v>
      </c>
      <c r="B29" s="24" t="s">
        <v>77</v>
      </c>
      <c r="C29" s="36">
        <v>5</v>
      </c>
      <c r="D29" s="36">
        <v>9</v>
      </c>
      <c r="E29" s="37">
        <v>0.4239501953125</v>
      </c>
      <c r="F29" s="38" t="str">
        <f t="shared" si="3"/>
        <v>Não</v>
      </c>
    </row>
    <row r="30" spans="1:12" x14ac:dyDescent="0.25">
      <c r="A30" s="30" t="s">
        <v>87</v>
      </c>
      <c r="B30" s="30" t="s">
        <v>78</v>
      </c>
      <c r="C30" s="39">
        <v>42</v>
      </c>
      <c r="D30" s="39">
        <v>40</v>
      </c>
      <c r="E30" s="40">
        <v>0.91215660755260219</v>
      </c>
      <c r="F30" s="41" t="str">
        <f t="shared" si="3"/>
        <v>Não</v>
      </c>
    </row>
    <row r="31" spans="1:12" x14ac:dyDescent="0.25">
      <c r="A31" s="24" t="s">
        <v>88</v>
      </c>
      <c r="B31" s="24" t="s">
        <v>77</v>
      </c>
      <c r="C31" s="36">
        <v>0</v>
      </c>
      <c r="D31" s="36">
        <v>4</v>
      </c>
      <c r="E31" s="37">
        <v>0.125</v>
      </c>
      <c r="F31" s="38" t="str">
        <f t="shared" si="3"/>
        <v>Não</v>
      </c>
    </row>
    <row r="32" spans="1:12" x14ac:dyDescent="0.25">
      <c r="A32" s="30" t="s">
        <v>88</v>
      </c>
      <c r="B32" s="30" t="s">
        <v>78</v>
      </c>
      <c r="C32" s="39">
        <v>25</v>
      </c>
      <c r="D32" s="39">
        <v>14</v>
      </c>
      <c r="E32" s="40">
        <v>0.1081290214060573</v>
      </c>
      <c r="F32" s="41" t="str">
        <f t="shared" si="3"/>
        <v>Não</v>
      </c>
    </row>
    <row r="34" spans="1:12" ht="45.95" customHeight="1" x14ac:dyDescent="0.25">
      <c r="A34" s="42" t="s">
        <v>89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</row>
  </sheetData>
  <mergeCells count="3">
    <mergeCell ref="A1:F1"/>
    <mergeCell ref="A16:C16"/>
    <mergeCell ref="A34:L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Visão Geral</vt:lpstr>
      <vt:lpstr>VALE3</vt:lpstr>
      <vt:lpstr>ITUB4</vt:lpstr>
      <vt:lpstr>PETR4</vt:lpstr>
      <vt:lpstr>SBSP3</vt:lpstr>
      <vt:lpstr>BBDC4</vt:lpstr>
      <vt:lpstr>B3SA3</vt:lpstr>
      <vt:lpstr>ITSA4</vt:lpstr>
      <vt:lpstr>BPAC11</vt:lpstr>
      <vt:lpstr>BBAS3</vt:lpstr>
      <vt:lpstr>ABEV3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Vanderlei Barbosa da Silva</cp:lastModifiedBy>
  <dcterms:created xsi:type="dcterms:W3CDTF">2026-10-16T01:33:35Z</dcterms:created>
  <dcterms:modified xsi:type="dcterms:W3CDTF">2026-10-16T01:34:05Z</dcterms:modified>
</cp:coreProperties>
</file>
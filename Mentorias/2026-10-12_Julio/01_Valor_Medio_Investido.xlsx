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10-12_Julio\"/>
    </mc:Choice>
  </mc:AlternateContent>
  <xr:revisionPtr revIDLastSave="0" documentId="13_ncr:1_{C70B149E-E832-4934-8973-E11134FBB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10 (destaque)" sheetId="1" r:id="rId1"/>
    <sheet name="Todos os papéis (62)" sheetId="2" r:id="rId2"/>
  </sheets>
  <definedNames>
    <definedName name="_xlnm._FilterDatabase" localSheetId="1" hidden="1">'Todos os papéis (62)'!$A$1:$H$63</definedName>
    <definedName name="_xlnm._FilterDatabase" localSheetId="0" hidden="1">'Top 10 (destaque)'!$A$1:$H$11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2" l="1"/>
  <c r="F62" i="2"/>
  <c r="F61" i="2"/>
  <c r="F60" i="2"/>
  <c r="F59" i="2"/>
  <c r="F58" i="2"/>
  <c r="F57" i="2"/>
  <c r="H57" i="2" s="1"/>
  <c r="F56" i="2"/>
  <c r="H56" i="2" s="1"/>
  <c r="F55" i="2"/>
  <c r="H55" i="2" s="1"/>
  <c r="F54" i="2"/>
  <c r="H54" i="2" s="1"/>
  <c r="F53" i="2"/>
  <c r="H53" i="2" s="1"/>
  <c r="H52" i="2"/>
  <c r="F52" i="2"/>
  <c r="F51" i="2"/>
  <c r="H51" i="2" s="1"/>
  <c r="F50" i="2"/>
  <c r="H50" i="2" s="1"/>
  <c r="F49" i="2"/>
  <c r="H49" i="2" s="1"/>
  <c r="H48" i="2"/>
  <c r="F48" i="2"/>
  <c r="F47" i="2"/>
  <c r="H47" i="2" s="1"/>
  <c r="F46" i="2"/>
  <c r="H46" i="2" s="1"/>
  <c r="F45" i="2"/>
  <c r="H45" i="2" s="1"/>
  <c r="F44" i="2"/>
  <c r="H44" i="2" s="1"/>
  <c r="F43" i="2"/>
  <c r="H43" i="2" s="1"/>
  <c r="F42" i="2"/>
  <c r="H42" i="2" s="1"/>
  <c r="F41" i="2"/>
  <c r="H41" i="2" s="1"/>
  <c r="F40" i="2"/>
  <c r="H40" i="2" s="1"/>
  <c r="F39" i="2"/>
  <c r="H39" i="2" s="1"/>
  <c r="F38" i="2"/>
  <c r="H38" i="2" s="1"/>
  <c r="F37" i="2"/>
  <c r="H37" i="2" s="1"/>
  <c r="H36" i="2"/>
  <c r="F36" i="2"/>
  <c r="F35" i="2"/>
  <c r="H35" i="2" s="1"/>
  <c r="F34" i="2"/>
  <c r="H34" i="2" s="1"/>
  <c r="F33" i="2"/>
  <c r="H33" i="2" s="1"/>
  <c r="F32" i="2"/>
  <c r="H32" i="2" s="1"/>
  <c r="F31" i="2"/>
  <c r="H31" i="2" s="1"/>
  <c r="F30" i="2"/>
  <c r="H30" i="2" s="1"/>
  <c r="F29" i="2"/>
  <c r="H29" i="2" s="1"/>
  <c r="F28" i="2"/>
  <c r="H28" i="2" s="1"/>
  <c r="F27" i="2"/>
  <c r="H27" i="2" s="1"/>
  <c r="F26" i="2"/>
  <c r="H26" i="2" s="1"/>
  <c r="F25" i="2"/>
  <c r="H25" i="2" s="1"/>
  <c r="F24" i="2"/>
  <c r="H24" i="2" s="1"/>
  <c r="F23" i="2"/>
  <c r="H23" i="2" s="1"/>
  <c r="F22" i="2"/>
  <c r="H22" i="2" s="1"/>
  <c r="F21" i="2"/>
  <c r="H21" i="2" s="1"/>
  <c r="H20" i="2"/>
  <c r="F20" i="2"/>
  <c r="F19" i="2"/>
  <c r="H19" i="2" s="1"/>
  <c r="F18" i="2"/>
  <c r="H18" i="2" s="1"/>
  <c r="F17" i="2"/>
  <c r="H17" i="2" s="1"/>
  <c r="H16" i="2"/>
  <c r="F16" i="2"/>
  <c r="F15" i="2"/>
  <c r="H15" i="2" s="1"/>
  <c r="F14" i="2"/>
  <c r="H14" i="2" s="1"/>
  <c r="F13" i="2"/>
  <c r="H13" i="2" s="1"/>
  <c r="F12" i="2"/>
  <c r="H12" i="2" s="1"/>
  <c r="F11" i="2"/>
  <c r="H11" i="2" s="1"/>
  <c r="F10" i="2"/>
  <c r="H10" i="2" s="1"/>
  <c r="F9" i="2"/>
  <c r="H9" i="2" s="1"/>
  <c r="F8" i="2"/>
  <c r="H8" i="2" s="1"/>
  <c r="F7" i="2"/>
  <c r="H7" i="2" s="1"/>
  <c r="F6" i="2"/>
  <c r="H6" i="2" s="1"/>
  <c r="F5" i="2"/>
  <c r="H5" i="2" s="1"/>
  <c r="F4" i="2"/>
  <c r="H4" i="2" s="1"/>
  <c r="F3" i="2"/>
  <c r="H3" i="2" s="1"/>
  <c r="F2" i="2"/>
  <c r="H2" i="2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F2" i="1"/>
  <c r="H2" i="1" s="1"/>
</calcChain>
</file>

<file path=xl/sharedStrings.xml><?xml version="1.0" encoding="utf-8"?>
<sst xmlns="http://schemas.openxmlformats.org/spreadsheetml/2006/main" count="252" uniqueCount="141">
  <si>
    <t>Ticker</t>
  </si>
  <si>
    <t>Empresa</t>
  </si>
  <si>
    <t>Data-base
(acionistas)</t>
  </si>
  <si>
    <t>Acionistas
(total)</t>
  </si>
  <si>
    <t>Ações em
circulação</t>
  </si>
  <si>
    <t>1. Ações por
investidor
(média)</t>
  </si>
  <si>
    <t>Preço atual
(fechamento)</t>
  </si>
  <si>
    <t>2. Valor médio
investido
(média)</t>
  </si>
  <si>
    <t>VALE3</t>
  </si>
  <si>
    <t>VALE S.A.</t>
  </si>
  <si>
    <t>2026-12-31</t>
  </si>
  <si>
    <t>ITUB4</t>
  </si>
  <si>
    <t>ITAU UNIBANCO HOLDING S.A.</t>
  </si>
  <si>
    <t>PETR4</t>
  </si>
  <si>
    <t>PETROLEO BRASILEIRO S.A. PETROBRAS</t>
  </si>
  <si>
    <t>SBSP3</t>
  </si>
  <si>
    <t>CIA SANEAMENTO BASICO EST SAO PAULO</t>
  </si>
  <si>
    <t>BBDC4</t>
  </si>
  <si>
    <t>BCO BRADESCO S.A.</t>
  </si>
  <si>
    <t>B3SA3</t>
  </si>
  <si>
    <t>B3 S.A. - BRASIL, BOLSA, BALCÃO</t>
  </si>
  <si>
    <t>ITSA4</t>
  </si>
  <si>
    <t>ITAÚSA S.A.</t>
  </si>
  <si>
    <t>BPAC11</t>
  </si>
  <si>
    <t>BCO BTG PACTUAL S.A.</t>
  </si>
  <si>
    <t>BBAS3</t>
  </si>
  <si>
    <t>BCO BRASIL S.A.</t>
  </si>
  <si>
    <t>ABEV3</t>
  </si>
  <si>
    <t>AMBEV S.A.</t>
  </si>
  <si>
    <t>Fontes: CVM/dados/distribuicao_capital_papeis.csv (Formulário de Referência da CVM — acionistas e ações em circulação, por assembleia) + CVM/dados/ohlcv_b3.csv (preço de fechamento em 2026-09-15). Datas-base diferentes entre as duas fontes — é a mesma limitação já registrada na planilha 16 da pasta de 16/09.</t>
  </si>
  <si>
    <t>Item 1 e item 2 são FÓRMULA (colunas F e H) — recalculam se você editar os acionistas, as ações em circulação ou o preço.</t>
  </si>
  <si>
    <t>CUIDADO AO LER A MÉDIA: é uma média simples sobre uma distribuição muito desigual — poucos acionistas grandes (controlador, fundos) puxam o número para cima. O investidor individual típico tem MENOS que essa média, não esse valor. Não temos, nesta base, como medir a mediana (só o total de ações e o total de acionistas, não a distribuição entre eles).</t>
  </si>
  <si>
    <t>6 papéis têm acionistas cadastrados mas não têm preço coletado nesta pesquisa — EMBR3, BRFS3, MRFG3, ELET3 (trocou para AXIA3), AZUL4, GOLL4. Aparecem no fim da aba 'Todos os papéis', sem item 2 calculado — não inventei preço para eles.</t>
  </si>
  <si>
    <t>KLBN11</t>
  </si>
  <si>
    <t>KLABIN S.A.</t>
  </si>
  <si>
    <t>BBSE3</t>
  </si>
  <si>
    <t>BB SEGURIDADE PARTICIPAÇÕES S.A.</t>
  </si>
  <si>
    <t>SANB11</t>
  </si>
  <si>
    <t>BCO SANTANDER (BRASIL) S.A.</t>
  </si>
  <si>
    <t>MGLU3</t>
  </si>
  <si>
    <t>MAGAZINE LUIZA S.A.</t>
  </si>
  <si>
    <t>VIVT3</t>
  </si>
  <si>
    <t>TELEFÔNICA BRASIL S.A</t>
  </si>
  <si>
    <t>EGIE3</t>
  </si>
  <si>
    <t>ENGIE BRASIL ENERGIA S.A.</t>
  </si>
  <si>
    <t>GGBR4</t>
  </si>
  <si>
    <t>GERDAU S.A.</t>
  </si>
  <si>
    <t>GOAU4</t>
  </si>
  <si>
    <t>METALURGICA GERDAU S.A.</t>
  </si>
  <si>
    <t>PRIO3</t>
  </si>
  <si>
    <t>PRIO S.A.</t>
  </si>
  <si>
    <t>CSAN3</t>
  </si>
  <si>
    <t>COSAN S.A.</t>
  </si>
  <si>
    <t>PSSA3</t>
  </si>
  <si>
    <t>PORTO SEGURO S.A.</t>
  </si>
  <si>
    <t>COGN3</t>
  </si>
  <si>
    <t>COGNA EDUCAÇÃO S.A.</t>
  </si>
  <si>
    <t>ALOS3</t>
  </si>
  <si>
    <t>ALLOS S.A.</t>
  </si>
  <si>
    <t>USIM5</t>
  </si>
  <si>
    <t>USINAS SID DE MINAS GERAIS S.A.-USIMINAS</t>
  </si>
  <si>
    <t>CPFE3</t>
  </si>
  <si>
    <t>CPFL ENERGIA S.A.</t>
  </si>
  <si>
    <t>CVCB3</t>
  </si>
  <si>
    <t>CVC BRASIL OPERADORA E AGÊNCIA DE VIAGENS S.A.</t>
  </si>
  <si>
    <t>LREN3</t>
  </si>
  <si>
    <t>LOJAS RENNER S.A.</t>
  </si>
  <si>
    <t>TIMS3</t>
  </si>
  <si>
    <t>TIM S.A.</t>
  </si>
  <si>
    <t>CSNA3</t>
  </si>
  <si>
    <t>CIA SIDERURGICA NACIONAL</t>
  </si>
  <si>
    <t>SUZB3</t>
  </si>
  <si>
    <t>SUZANO S.A.</t>
  </si>
  <si>
    <t>EQTL3</t>
  </si>
  <si>
    <t>EQUATORIAL S.A.</t>
  </si>
  <si>
    <t>CYRE3</t>
  </si>
  <si>
    <t>CYRELA BRAZIL REALTY S.A.EMPREEND E PART</t>
  </si>
  <si>
    <t>SLCE3</t>
  </si>
  <si>
    <t>SLC AGRICOLA S.A.</t>
  </si>
  <si>
    <t>BRAV3</t>
  </si>
  <si>
    <t>BRAVA ENERGIA S.A.</t>
  </si>
  <si>
    <t>BEEF3</t>
  </si>
  <si>
    <t>MINERVA S.A.</t>
  </si>
  <si>
    <t>RADL3</t>
  </si>
  <si>
    <t>RAIA DROGASIL S.A.</t>
  </si>
  <si>
    <t>RDOR3</t>
  </si>
  <si>
    <t>REDE D'OR SÃO LUIZ S.A.</t>
  </si>
  <si>
    <t>VBBR3</t>
  </si>
  <si>
    <t>VIBRA ENERGIA S/A</t>
  </si>
  <si>
    <t>BRKM5</t>
  </si>
  <si>
    <t>BRASKEM S.A.</t>
  </si>
  <si>
    <t>ENGI11</t>
  </si>
  <si>
    <t>ENERGISA S.A.</t>
  </si>
  <si>
    <t>NTCO3</t>
  </si>
  <si>
    <t>NATURA COSMÉTICOS S.A.</t>
  </si>
  <si>
    <t>TOTS3</t>
  </si>
  <si>
    <t>TOTVS S.A.</t>
  </si>
  <si>
    <t>ASAI3</t>
  </si>
  <si>
    <t>SENDAS DISTRIBUIDORA S.A.</t>
  </si>
  <si>
    <t>HYPE3</t>
  </si>
  <si>
    <t>HYPERA S.A.</t>
  </si>
  <si>
    <t>LWSA3</t>
  </si>
  <si>
    <t>LWSA S/A</t>
  </si>
  <si>
    <t>HAPV3</t>
  </si>
  <si>
    <t>HAPVIDA PARTICIPAÇÕES E INVESTIMENTOS S.A.</t>
  </si>
  <si>
    <t>RAIL3</t>
  </si>
  <si>
    <t>RUMO S.A.</t>
  </si>
  <si>
    <t>UGPA3</t>
  </si>
  <si>
    <t>ULTRAPAR PARTICIPACOES S.A.</t>
  </si>
  <si>
    <t>SMTO3</t>
  </si>
  <si>
    <t>SAO MARTINHO S.A.</t>
  </si>
  <si>
    <t>2026-03-31</t>
  </si>
  <si>
    <t>CCRO3</t>
  </si>
  <si>
    <t>MOTIVA INFRAESTRUTURA DE MOBILIDADE S.A.</t>
  </si>
  <si>
    <t>LIGT3</t>
  </si>
  <si>
    <t>LIGHT S.A. - EM RECUPERAÇÃO JUDICIAL</t>
  </si>
  <si>
    <t>MULT3</t>
  </si>
  <si>
    <t>MULTIPLAN - EMPREEND IMOBILIARIOS S.A.</t>
  </si>
  <si>
    <t>YDUQ3</t>
  </si>
  <si>
    <t>YDUQS PARTICIPACOES S.A.</t>
  </si>
  <si>
    <t>RENT3</t>
  </si>
  <si>
    <t>LOCALIZA FLEET S.A.</t>
  </si>
  <si>
    <t>OIBR3</t>
  </si>
  <si>
    <t>CONCESSIONÁRIA PONTE RIO-NITERÓI S.A. - ECOPONTE</t>
  </si>
  <si>
    <t>IGTI11</t>
  </si>
  <si>
    <t>IGUATEMI EMPRESA DE SHOPPING CENTERS S.A</t>
  </si>
  <si>
    <t>ELET3</t>
  </si>
  <si>
    <t>AXIA ENERGIA S.A.</t>
  </si>
  <si>
    <t>sem preço coletado</t>
  </si>
  <si>
    <t>—</t>
  </si>
  <si>
    <t>MRFG3</t>
  </si>
  <si>
    <t>MARFRIG GLOBAL FOODS S.A.</t>
  </si>
  <si>
    <t>EMBR3</t>
  </si>
  <si>
    <t>EMBRAER S.A.</t>
  </si>
  <si>
    <t>GOLL4</t>
  </si>
  <si>
    <t>GOL LINHAS AEREAS INTELIGENTES S.A.</t>
  </si>
  <si>
    <t>2025-12-31</t>
  </si>
  <si>
    <t>AZUL4</t>
  </si>
  <si>
    <t>AZUL S.A.</t>
  </si>
  <si>
    <t>BRFS3</t>
  </si>
  <si>
    <t>BRF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</si>
</sst>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R$&quot;\ #,##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595959"/>
      <name val="Arial"/>
    </font>
    <font>
      <i/>
      <sz val="9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3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/>
    <xf numFmtId="3" fontId="4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3" fillId="4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32" customWidth="1"/>
    <col min="3" max="4" width="12" customWidth="1"/>
    <col min="5" max="6" width="13" customWidth="1"/>
    <col min="7" max="7" width="12" customWidth="1"/>
    <col min="8" max="8" width="14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4">
        <v>777804</v>
      </c>
      <c r="E2" s="4">
        <v>4262140830</v>
      </c>
      <c r="F2" s="5">
        <f t="shared" ref="F2:F11" si="0">IFERROR(E2/D2,"")</f>
        <v>5479.7106083280623</v>
      </c>
      <c r="G2" s="6">
        <v>74.599998474121094</v>
      </c>
      <c r="H2" s="7">
        <f t="shared" ref="H2:H11" si="1">F2*G2</f>
        <v>408786.40301989863</v>
      </c>
    </row>
    <row r="3" spans="1:8" x14ac:dyDescent="0.25">
      <c r="A3" s="8" t="s">
        <v>11</v>
      </c>
      <c r="B3" s="9" t="s">
        <v>12</v>
      </c>
      <c r="C3" s="9" t="s">
        <v>10</v>
      </c>
      <c r="D3" s="10">
        <v>667798</v>
      </c>
      <c r="E3" s="10">
        <v>5794029158</v>
      </c>
      <c r="F3" s="11">
        <f t="shared" si="0"/>
        <v>8676.3200219227965</v>
      </c>
      <c r="G3" s="12">
        <v>42.669998168945313</v>
      </c>
      <c r="H3" s="13">
        <f t="shared" si="1"/>
        <v>370218.55944862927</v>
      </c>
    </row>
    <row r="4" spans="1:8" x14ac:dyDescent="0.25">
      <c r="A4" s="2" t="s">
        <v>13</v>
      </c>
      <c r="B4" s="3" t="s">
        <v>14</v>
      </c>
      <c r="C4" s="3" t="s">
        <v>10</v>
      </c>
      <c r="D4" s="4">
        <v>1183775</v>
      </c>
      <c r="E4" s="4">
        <v>7889437525</v>
      </c>
      <c r="F4" s="5">
        <f t="shared" si="0"/>
        <v>6664.6427952947142</v>
      </c>
      <c r="G4" s="6">
        <v>50.430000305175781</v>
      </c>
      <c r="H4" s="7">
        <f t="shared" si="1"/>
        <v>336097.93820060004</v>
      </c>
    </row>
    <row r="5" spans="1:8" x14ac:dyDescent="0.25">
      <c r="A5" s="8" t="s">
        <v>15</v>
      </c>
      <c r="B5" s="9" t="s">
        <v>16</v>
      </c>
      <c r="C5" s="9" t="s">
        <v>10</v>
      </c>
      <c r="D5" s="10">
        <v>60606</v>
      </c>
      <c r="E5" s="10">
        <v>3524534026</v>
      </c>
      <c r="F5" s="11">
        <f t="shared" si="0"/>
        <v>58154.869583869586</v>
      </c>
      <c r="G5" s="12">
        <v>26.930000305175781</v>
      </c>
      <c r="H5" s="13">
        <f t="shared" si="1"/>
        <v>1566110.6556410657</v>
      </c>
    </row>
    <row r="6" spans="1:8" x14ac:dyDescent="0.25">
      <c r="A6" s="2" t="s">
        <v>17</v>
      </c>
      <c r="B6" s="3" t="s">
        <v>18</v>
      </c>
      <c r="C6" s="3" t="s">
        <v>10</v>
      </c>
      <c r="D6" s="4">
        <v>882476</v>
      </c>
      <c r="E6" s="4">
        <v>6565342087</v>
      </c>
      <c r="F6" s="5">
        <f t="shared" si="0"/>
        <v>7439.6834440823322</v>
      </c>
      <c r="G6" s="6">
        <v>18.20000076293945</v>
      </c>
      <c r="H6" s="7">
        <f t="shared" si="1"/>
        <v>135402.24435832642</v>
      </c>
    </row>
    <row r="7" spans="1:8" x14ac:dyDescent="0.25">
      <c r="A7" s="8" t="s">
        <v>19</v>
      </c>
      <c r="B7" s="9" t="s">
        <v>20</v>
      </c>
      <c r="C7" s="9" t="s">
        <v>10</v>
      </c>
      <c r="D7" s="10">
        <v>294151</v>
      </c>
      <c r="E7" s="10">
        <v>4985893391</v>
      </c>
      <c r="F7" s="11">
        <f t="shared" si="0"/>
        <v>16950.115386315192</v>
      </c>
      <c r="G7" s="12">
        <v>17.420000076293949</v>
      </c>
      <c r="H7" s="13">
        <f t="shared" si="1"/>
        <v>295271.01132280187</v>
      </c>
    </row>
    <row r="8" spans="1:8" x14ac:dyDescent="0.25">
      <c r="A8" s="2" t="s">
        <v>21</v>
      </c>
      <c r="B8" s="3" t="s">
        <v>22</v>
      </c>
      <c r="C8" s="3" t="s">
        <v>10</v>
      </c>
      <c r="D8" s="4">
        <v>965450</v>
      </c>
      <c r="E8" s="4">
        <v>7370345156</v>
      </c>
      <c r="F8" s="5">
        <f t="shared" si="0"/>
        <v>7634.1034294888395</v>
      </c>
      <c r="G8" s="6">
        <v>14.159999847412109</v>
      </c>
      <c r="H8" s="7">
        <f t="shared" si="1"/>
        <v>108098.90339669024</v>
      </c>
    </row>
    <row r="9" spans="1:8" x14ac:dyDescent="0.25">
      <c r="A9" s="8" t="s">
        <v>23</v>
      </c>
      <c r="B9" s="9" t="s">
        <v>24</v>
      </c>
      <c r="C9" s="9" t="s">
        <v>10</v>
      </c>
      <c r="D9" s="10">
        <v>124802</v>
      </c>
      <c r="E9" s="10">
        <v>3584166460</v>
      </c>
      <c r="F9" s="11">
        <f t="shared" si="0"/>
        <v>28718.82229451451</v>
      </c>
      <c r="G9" s="12">
        <v>60.200000762939453</v>
      </c>
      <c r="H9" s="13">
        <f t="shared" si="1"/>
        <v>1728873.1240404961</v>
      </c>
    </row>
    <row r="10" spans="1:8" x14ac:dyDescent="0.25">
      <c r="A10" s="2" t="s">
        <v>25</v>
      </c>
      <c r="B10" s="3" t="s">
        <v>26</v>
      </c>
      <c r="C10" s="3" t="s">
        <v>10</v>
      </c>
      <c r="D10" s="4">
        <v>1551254</v>
      </c>
      <c r="E10" s="4">
        <v>2842760965</v>
      </c>
      <c r="F10" s="5">
        <f t="shared" si="0"/>
        <v>1832.5567347449226</v>
      </c>
      <c r="G10" s="6">
        <v>22.04000091552734</v>
      </c>
      <c r="H10" s="7">
        <f t="shared" si="1"/>
        <v>40389.552111533885</v>
      </c>
    </row>
    <row r="11" spans="1:8" x14ac:dyDescent="0.25">
      <c r="A11" s="8" t="s">
        <v>27</v>
      </c>
      <c r="B11" s="9" t="s">
        <v>28</v>
      </c>
      <c r="C11" s="9" t="s">
        <v>10</v>
      </c>
      <c r="D11" s="10">
        <v>213087</v>
      </c>
      <c r="E11" s="10">
        <v>4043349180</v>
      </c>
      <c r="F11" s="11">
        <f t="shared" si="0"/>
        <v>18975.109603119854</v>
      </c>
      <c r="G11" s="12">
        <v>15.72999954223633</v>
      </c>
      <c r="H11" s="13">
        <f t="shared" si="1"/>
        <v>298478.46537095949</v>
      </c>
    </row>
    <row r="13" spans="1:8" ht="27.95" customHeight="1" x14ac:dyDescent="0.25">
      <c r="A13" s="24" t="s">
        <v>29</v>
      </c>
      <c r="B13" s="25"/>
      <c r="C13" s="25"/>
      <c r="D13" s="25"/>
      <c r="E13" s="25"/>
      <c r="F13" s="25"/>
      <c r="G13" s="25"/>
      <c r="H13" s="25"/>
    </row>
    <row r="14" spans="1:8" ht="27.95" customHeight="1" x14ac:dyDescent="0.25">
      <c r="A14" s="24" t="s">
        <v>30</v>
      </c>
      <c r="B14" s="25"/>
      <c r="C14" s="25"/>
      <c r="D14" s="25"/>
      <c r="E14" s="25"/>
      <c r="F14" s="25"/>
      <c r="G14" s="25"/>
      <c r="H14" s="25"/>
    </row>
    <row r="15" spans="1:8" ht="27.95" customHeight="1" x14ac:dyDescent="0.25">
      <c r="A15" s="24" t="s">
        <v>31</v>
      </c>
      <c r="B15" s="25"/>
      <c r="C15" s="25"/>
      <c r="D15" s="25"/>
      <c r="E15" s="25"/>
      <c r="F15" s="25"/>
      <c r="G15" s="25"/>
      <c r="H15" s="25"/>
    </row>
    <row r="16" spans="1:8" ht="27.95" customHeight="1" x14ac:dyDescent="0.25">
      <c r="A16" s="24" t="s">
        <v>32</v>
      </c>
      <c r="B16" s="25"/>
      <c r="C16" s="25"/>
      <c r="D16" s="25"/>
      <c r="E16" s="25"/>
      <c r="F16" s="25"/>
      <c r="G16" s="25"/>
      <c r="H16" s="25"/>
    </row>
  </sheetData>
  <autoFilter ref="A1:H11" xr:uid="{00000000-0009-0000-0000-000000000000}"/>
  <mergeCells count="4">
    <mergeCell ref="A16:H16"/>
    <mergeCell ref="A13:H13"/>
    <mergeCell ref="A14:H14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32" customWidth="1"/>
    <col min="3" max="4" width="12" customWidth="1"/>
    <col min="5" max="6" width="13" customWidth="1"/>
    <col min="7" max="7" width="12" customWidth="1"/>
    <col min="8" max="8" width="14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4" t="s">
        <v>25</v>
      </c>
      <c r="B2" s="15" t="s">
        <v>26</v>
      </c>
      <c r="C2" s="15" t="s">
        <v>10</v>
      </c>
      <c r="D2" s="16">
        <v>1551254</v>
      </c>
      <c r="E2" s="16">
        <v>2842760965</v>
      </c>
      <c r="F2" s="17">
        <f t="shared" ref="F2:F33" si="0">IFERROR(E2/D2,"")</f>
        <v>1832.5567347449226</v>
      </c>
      <c r="G2" s="18">
        <v>22.04000091552734</v>
      </c>
      <c r="H2" s="19">
        <f t="shared" ref="H2:H33" si="1">F2*G2</f>
        <v>40389.552111533885</v>
      </c>
    </row>
    <row r="3" spans="1:8" x14ac:dyDescent="0.25">
      <c r="A3" s="14" t="s">
        <v>13</v>
      </c>
      <c r="B3" s="15" t="s">
        <v>14</v>
      </c>
      <c r="C3" s="15" t="s">
        <v>10</v>
      </c>
      <c r="D3" s="16">
        <v>1183775</v>
      </c>
      <c r="E3" s="16">
        <v>7889437525</v>
      </c>
      <c r="F3" s="17">
        <f t="shared" si="0"/>
        <v>6664.6427952947142</v>
      </c>
      <c r="G3" s="18">
        <v>50.430000305175781</v>
      </c>
      <c r="H3" s="19">
        <f t="shared" si="1"/>
        <v>336097.93820060004</v>
      </c>
    </row>
    <row r="4" spans="1:8" x14ac:dyDescent="0.25">
      <c r="A4" s="14" t="s">
        <v>21</v>
      </c>
      <c r="B4" s="15" t="s">
        <v>22</v>
      </c>
      <c r="C4" s="15" t="s">
        <v>10</v>
      </c>
      <c r="D4" s="16">
        <v>965450</v>
      </c>
      <c r="E4" s="16">
        <v>7370345156</v>
      </c>
      <c r="F4" s="17">
        <f t="shared" si="0"/>
        <v>7634.1034294888395</v>
      </c>
      <c r="G4" s="18">
        <v>14.159999847412109</v>
      </c>
      <c r="H4" s="19">
        <f t="shared" si="1"/>
        <v>108098.90339669024</v>
      </c>
    </row>
    <row r="5" spans="1:8" x14ac:dyDescent="0.25">
      <c r="A5" s="14" t="s">
        <v>17</v>
      </c>
      <c r="B5" s="15" t="s">
        <v>18</v>
      </c>
      <c r="C5" s="15" t="s">
        <v>10</v>
      </c>
      <c r="D5" s="16">
        <v>882476</v>
      </c>
      <c r="E5" s="16">
        <v>6565342087</v>
      </c>
      <c r="F5" s="17">
        <f t="shared" si="0"/>
        <v>7439.6834440823322</v>
      </c>
      <c r="G5" s="18">
        <v>18.20000076293945</v>
      </c>
      <c r="H5" s="19">
        <f t="shared" si="1"/>
        <v>135402.24435832642</v>
      </c>
    </row>
    <row r="6" spans="1:8" x14ac:dyDescent="0.25">
      <c r="A6" s="14" t="s">
        <v>8</v>
      </c>
      <c r="B6" s="15" t="s">
        <v>9</v>
      </c>
      <c r="C6" s="15" t="s">
        <v>10</v>
      </c>
      <c r="D6" s="16">
        <v>777804</v>
      </c>
      <c r="E6" s="16">
        <v>4262140830</v>
      </c>
      <c r="F6" s="17">
        <f t="shared" si="0"/>
        <v>5479.7106083280623</v>
      </c>
      <c r="G6" s="18">
        <v>74.599998474121094</v>
      </c>
      <c r="H6" s="19">
        <f t="shared" si="1"/>
        <v>408786.40301989863</v>
      </c>
    </row>
    <row r="7" spans="1:8" x14ac:dyDescent="0.25">
      <c r="A7" s="14" t="s">
        <v>11</v>
      </c>
      <c r="B7" s="15" t="s">
        <v>12</v>
      </c>
      <c r="C7" s="15" t="s">
        <v>10</v>
      </c>
      <c r="D7" s="16">
        <v>667798</v>
      </c>
      <c r="E7" s="16">
        <v>5794029158</v>
      </c>
      <c r="F7" s="17">
        <f t="shared" si="0"/>
        <v>8676.3200219227965</v>
      </c>
      <c r="G7" s="18">
        <v>42.669998168945313</v>
      </c>
      <c r="H7" s="19">
        <f t="shared" si="1"/>
        <v>370218.55944862927</v>
      </c>
    </row>
    <row r="8" spans="1:8" x14ac:dyDescent="0.25">
      <c r="A8" s="2" t="s">
        <v>33</v>
      </c>
      <c r="B8" s="3" t="s">
        <v>34</v>
      </c>
      <c r="C8" s="3" t="s">
        <v>10</v>
      </c>
      <c r="D8" s="4">
        <v>663810</v>
      </c>
      <c r="E8" s="4">
        <v>4101458063</v>
      </c>
      <c r="F8" s="5">
        <f t="shared" si="0"/>
        <v>6178.6626640153054</v>
      </c>
      <c r="G8" s="6">
        <v>19.420000076293949</v>
      </c>
      <c r="H8" s="7">
        <f t="shared" si="1"/>
        <v>119989.62940657181</v>
      </c>
    </row>
    <row r="9" spans="1:8" x14ac:dyDescent="0.25">
      <c r="A9" s="8" t="s">
        <v>35</v>
      </c>
      <c r="B9" s="9" t="s">
        <v>36</v>
      </c>
      <c r="C9" s="9" t="s">
        <v>10</v>
      </c>
      <c r="D9" s="10">
        <v>610297</v>
      </c>
      <c r="E9" s="10">
        <v>616248544</v>
      </c>
      <c r="F9" s="11">
        <f t="shared" si="0"/>
        <v>1009.7518814609936</v>
      </c>
      <c r="G9" s="12">
        <v>40.159999847412109</v>
      </c>
      <c r="H9" s="13">
        <f t="shared" si="1"/>
        <v>40551.635405397588</v>
      </c>
    </row>
    <row r="10" spans="1:8" x14ac:dyDescent="0.25">
      <c r="A10" s="2" t="s">
        <v>37</v>
      </c>
      <c r="B10" s="3" t="s">
        <v>38</v>
      </c>
      <c r="C10" s="3" t="s">
        <v>10</v>
      </c>
      <c r="D10" s="4">
        <v>337376</v>
      </c>
      <c r="E10" s="4">
        <v>740295306</v>
      </c>
      <c r="F10" s="5">
        <f t="shared" si="0"/>
        <v>2194.2737657687567</v>
      </c>
      <c r="G10" s="6">
        <v>30.069999694824219</v>
      </c>
      <c r="H10" s="7">
        <f t="shared" si="1"/>
        <v>65981.811467027306</v>
      </c>
    </row>
    <row r="11" spans="1:8" x14ac:dyDescent="0.25">
      <c r="A11" s="8" t="s">
        <v>39</v>
      </c>
      <c r="B11" s="9" t="s">
        <v>40</v>
      </c>
      <c r="C11" s="9" t="s">
        <v>10</v>
      </c>
      <c r="D11" s="10">
        <v>319826</v>
      </c>
      <c r="E11" s="10">
        <v>389237948</v>
      </c>
      <c r="F11" s="11">
        <f t="shared" si="0"/>
        <v>1217.0303477515899</v>
      </c>
      <c r="G11" s="12">
        <v>5.570000171661377</v>
      </c>
      <c r="H11" s="13">
        <f t="shared" si="1"/>
        <v>6778.8592458934609</v>
      </c>
    </row>
    <row r="12" spans="1:8" x14ac:dyDescent="0.25">
      <c r="A12" s="14" t="s">
        <v>19</v>
      </c>
      <c r="B12" s="15" t="s">
        <v>20</v>
      </c>
      <c r="C12" s="15" t="s">
        <v>10</v>
      </c>
      <c r="D12" s="16">
        <v>294151</v>
      </c>
      <c r="E12" s="16">
        <v>4985893391</v>
      </c>
      <c r="F12" s="17">
        <f t="shared" si="0"/>
        <v>16950.115386315192</v>
      </c>
      <c r="G12" s="18">
        <v>17.420000076293949</v>
      </c>
      <c r="H12" s="19">
        <f t="shared" si="1"/>
        <v>295271.01132280187</v>
      </c>
    </row>
    <row r="13" spans="1:8" x14ac:dyDescent="0.25">
      <c r="A13" s="8" t="s">
        <v>41</v>
      </c>
      <c r="B13" s="9" t="s">
        <v>42</v>
      </c>
      <c r="C13" s="9" t="s">
        <v>10</v>
      </c>
      <c r="D13" s="10">
        <v>273626</v>
      </c>
      <c r="E13" s="10">
        <v>707098992</v>
      </c>
      <c r="F13" s="11">
        <f t="shared" si="0"/>
        <v>2584.1805676361164</v>
      </c>
      <c r="G13" s="12">
        <v>30.770000457763668</v>
      </c>
      <c r="H13" s="13">
        <f t="shared" si="1"/>
        <v>79515.237249107275</v>
      </c>
    </row>
    <row r="14" spans="1:8" x14ac:dyDescent="0.25">
      <c r="A14" s="2" t="s">
        <v>43</v>
      </c>
      <c r="B14" s="3" t="s">
        <v>44</v>
      </c>
      <c r="C14" s="3" t="s">
        <v>10</v>
      </c>
      <c r="D14" s="4">
        <v>264564</v>
      </c>
      <c r="E14" s="4">
        <v>443076690</v>
      </c>
      <c r="F14" s="5">
        <f t="shared" si="0"/>
        <v>1674.7429355467864</v>
      </c>
      <c r="G14" s="6">
        <v>30.520000457763668</v>
      </c>
      <c r="H14" s="7">
        <f t="shared" si="1"/>
        <v>51113.155159524387</v>
      </c>
    </row>
    <row r="15" spans="1:8" x14ac:dyDescent="0.25">
      <c r="A15" s="8" t="s">
        <v>45</v>
      </c>
      <c r="B15" s="9" t="s">
        <v>46</v>
      </c>
      <c r="C15" s="9" t="s">
        <v>10</v>
      </c>
      <c r="D15" s="10">
        <v>214168</v>
      </c>
      <c r="E15" s="10">
        <v>1257902354</v>
      </c>
      <c r="F15" s="11">
        <f t="shared" si="0"/>
        <v>5873.4374603115311</v>
      </c>
      <c r="G15" s="12">
        <v>25.85000038146973</v>
      </c>
      <c r="H15" s="13">
        <f t="shared" si="1"/>
        <v>151828.36058959167</v>
      </c>
    </row>
    <row r="16" spans="1:8" x14ac:dyDescent="0.25">
      <c r="A16" s="14" t="s">
        <v>27</v>
      </c>
      <c r="B16" s="15" t="s">
        <v>28</v>
      </c>
      <c r="C16" s="15" t="s">
        <v>10</v>
      </c>
      <c r="D16" s="16">
        <v>213087</v>
      </c>
      <c r="E16" s="16">
        <v>4043349180</v>
      </c>
      <c r="F16" s="17">
        <f t="shared" si="0"/>
        <v>18975.109603119854</v>
      </c>
      <c r="G16" s="18">
        <v>15.72999954223633</v>
      </c>
      <c r="H16" s="19">
        <f t="shared" si="1"/>
        <v>298478.46537095949</v>
      </c>
    </row>
    <row r="17" spans="1:8" x14ac:dyDescent="0.25">
      <c r="A17" s="8" t="s">
        <v>47</v>
      </c>
      <c r="B17" s="9" t="s">
        <v>48</v>
      </c>
      <c r="C17" s="9" t="s">
        <v>10</v>
      </c>
      <c r="D17" s="10">
        <v>168315</v>
      </c>
      <c r="E17" s="10">
        <v>950421943</v>
      </c>
      <c r="F17" s="11">
        <f t="shared" si="0"/>
        <v>5646.685934111636</v>
      </c>
      <c r="G17" s="12">
        <v>11.60999965667725</v>
      </c>
      <c r="H17" s="13">
        <f t="shared" si="1"/>
        <v>65558.021756400354</v>
      </c>
    </row>
    <row r="18" spans="1:8" x14ac:dyDescent="0.25">
      <c r="A18" s="2" t="s">
        <v>49</v>
      </c>
      <c r="B18" s="3" t="s">
        <v>50</v>
      </c>
      <c r="C18" s="3" t="s">
        <v>10</v>
      </c>
      <c r="D18" s="4">
        <v>161783</v>
      </c>
      <c r="E18" s="4">
        <v>747547356</v>
      </c>
      <c r="F18" s="5">
        <f t="shared" si="0"/>
        <v>4620.6792802704858</v>
      </c>
      <c r="G18" s="6">
        <v>65.680000305175781</v>
      </c>
      <c r="H18" s="7">
        <f t="shared" si="1"/>
        <v>303486.21653828491</v>
      </c>
    </row>
    <row r="19" spans="1:8" x14ac:dyDescent="0.25">
      <c r="A19" s="8" t="s">
        <v>51</v>
      </c>
      <c r="B19" s="9" t="s">
        <v>52</v>
      </c>
      <c r="C19" s="9" t="s">
        <v>10</v>
      </c>
      <c r="D19" s="10">
        <v>145099</v>
      </c>
      <c r="E19" s="10">
        <v>2278224258</v>
      </c>
      <c r="F19" s="11">
        <f t="shared" si="0"/>
        <v>15701.171324406096</v>
      </c>
      <c r="G19" s="12">
        <v>3.5399999618530278</v>
      </c>
      <c r="H19" s="13">
        <f t="shared" si="1"/>
        <v>55582.145889445434</v>
      </c>
    </row>
    <row r="20" spans="1:8" x14ac:dyDescent="0.25">
      <c r="A20" s="2" t="s">
        <v>53</v>
      </c>
      <c r="B20" s="3" t="s">
        <v>54</v>
      </c>
      <c r="C20" s="3" t="s">
        <v>10</v>
      </c>
      <c r="D20" s="4">
        <v>140419</v>
      </c>
      <c r="E20" s="4">
        <v>178825403</v>
      </c>
      <c r="F20" s="5">
        <f t="shared" si="0"/>
        <v>1273.5128650681177</v>
      </c>
      <c r="G20" s="6">
        <v>50.450000762939453</v>
      </c>
      <c r="H20" s="7">
        <f t="shared" si="1"/>
        <v>64248.725014299744</v>
      </c>
    </row>
    <row r="21" spans="1:8" x14ac:dyDescent="0.25">
      <c r="A21" s="8" t="s">
        <v>55</v>
      </c>
      <c r="B21" s="9" t="s">
        <v>56</v>
      </c>
      <c r="C21" s="9" t="s">
        <v>10</v>
      </c>
      <c r="D21" s="10">
        <v>138518</v>
      </c>
      <c r="E21" s="10">
        <v>1918999490</v>
      </c>
      <c r="F21" s="11">
        <f t="shared" si="0"/>
        <v>13853.79149280238</v>
      </c>
      <c r="G21" s="12">
        <v>2.3900001049041748</v>
      </c>
      <c r="H21" s="13">
        <f t="shared" si="1"/>
        <v>33110.563121118255</v>
      </c>
    </row>
    <row r="22" spans="1:8" x14ac:dyDescent="0.25">
      <c r="A22" s="14" t="s">
        <v>23</v>
      </c>
      <c r="B22" s="15" t="s">
        <v>24</v>
      </c>
      <c r="C22" s="15" t="s">
        <v>10</v>
      </c>
      <c r="D22" s="16">
        <v>124802</v>
      </c>
      <c r="E22" s="16">
        <v>3584166460</v>
      </c>
      <c r="F22" s="17">
        <f t="shared" si="0"/>
        <v>28718.82229451451</v>
      </c>
      <c r="G22" s="18">
        <v>60.200000762939453</v>
      </c>
      <c r="H22" s="19">
        <f t="shared" si="1"/>
        <v>1728873.1240404961</v>
      </c>
    </row>
    <row r="23" spans="1:8" x14ac:dyDescent="0.25">
      <c r="A23" s="8" t="s">
        <v>57</v>
      </c>
      <c r="B23" s="9" t="s">
        <v>58</v>
      </c>
      <c r="C23" s="9" t="s">
        <v>10</v>
      </c>
      <c r="D23" s="10">
        <v>119890</v>
      </c>
      <c r="E23" s="10">
        <v>478975645</v>
      </c>
      <c r="F23" s="11">
        <f t="shared" si="0"/>
        <v>3995.1259070814913</v>
      </c>
      <c r="G23" s="12">
        <v>28.530000686645511</v>
      </c>
      <c r="H23" s="13">
        <f t="shared" si="1"/>
        <v>113980.94487227022</v>
      </c>
    </row>
    <row r="24" spans="1:8" x14ac:dyDescent="0.25">
      <c r="A24" s="2" t="s">
        <v>59</v>
      </c>
      <c r="B24" s="3" t="s">
        <v>60</v>
      </c>
      <c r="C24" s="3" t="s">
        <v>10</v>
      </c>
      <c r="D24" s="4">
        <v>115411</v>
      </c>
      <c r="E24" s="4">
        <v>686063421</v>
      </c>
      <c r="F24" s="5">
        <f t="shared" si="0"/>
        <v>5944.5236675880114</v>
      </c>
      <c r="G24" s="6">
        <v>7.2600002288818359</v>
      </c>
      <c r="H24" s="7">
        <f t="shared" si="1"/>
        <v>43157.243187282453</v>
      </c>
    </row>
    <row r="25" spans="1:8" x14ac:dyDescent="0.25">
      <c r="A25" s="8" t="s">
        <v>61</v>
      </c>
      <c r="B25" s="9" t="s">
        <v>62</v>
      </c>
      <c r="C25" s="9" t="s">
        <v>10</v>
      </c>
      <c r="D25" s="10">
        <v>106796</v>
      </c>
      <c r="E25" s="10">
        <v>187732538</v>
      </c>
      <c r="F25" s="11">
        <f t="shared" si="0"/>
        <v>1757.8611371212405</v>
      </c>
      <c r="G25" s="12">
        <v>44.720001220703118</v>
      </c>
      <c r="H25" s="13">
        <f t="shared" si="1"/>
        <v>78611.55219788845</v>
      </c>
    </row>
    <row r="26" spans="1:8" x14ac:dyDescent="0.25">
      <c r="A26" s="2" t="s">
        <v>63</v>
      </c>
      <c r="B26" s="3" t="s">
        <v>64</v>
      </c>
      <c r="C26" s="3" t="s">
        <v>10</v>
      </c>
      <c r="D26" s="4">
        <v>105312</v>
      </c>
      <c r="E26" s="4">
        <v>401673127</v>
      </c>
      <c r="F26" s="5">
        <f t="shared" si="0"/>
        <v>3814.1249525220296</v>
      </c>
      <c r="G26" s="6">
        <v>1.570000052452087</v>
      </c>
      <c r="H26" s="7">
        <f t="shared" si="1"/>
        <v>5988.1763755184002</v>
      </c>
    </row>
    <row r="27" spans="1:8" x14ac:dyDescent="0.25">
      <c r="A27" s="8" t="s">
        <v>65</v>
      </c>
      <c r="B27" s="9" t="s">
        <v>66</v>
      </c>
      <c r="C27" s="9" t="s">
        <v>10</v>
      </c>
      <c r="D27" s="10">
        <v>104687</v>
      </c>
      <c r="E27" s="10">
        <v>947858690</v>
      </c>
      <c r="F27" s="11">
        <f t="shared" si="0"/>
        <v>9054.2158052098166</v>
      </c>
      <c r="G27" s="12">
        <v>11.14999961853027</v>
      </c>
      <c r="H27" s="13">
        <f t="shared" si="1"/>
        <v>100954.50277418019</v>
      </c>
    </row>
    <row r="28" spans="1:8" x14ac:dyDescent="0.25">
      <c r="A28" s="2" t="s">
        <v>67</v>
      </c>
      <c r="B28" s="3" t="s">
        <v>68</v>
      </c>
      <c r="C28" s="3" t="s">
        <v>10</v>
      </c>
      <c r="D28" s="4">
        <v>99143</v>
      </c>
      <c r="E28" s="4">
        <v>776308601</v>
      </c>
      <c r="F28" s="5">
        <f t="shared" si="0"/>
        <v>7830.1907446819241</v>
      </c>
      <c r="G28" s="6">
        <v>19.639999389648441</v>
      </c>
      <c r="H28" s="7">
        <f t="shared" si="1"/>
        <v>153784.94144638386</v>
      </c>
    </row>
    <row r="29" spans="1:8" x14ac:dyDescent="0.25">
      <c r="A29" s="8" t="s">
        <v>69</v>
      </c>
      <c r="B29" s="9" t="s">
        <v>70</v>
      </c>
      <c r="C29" s="9" t="s">
        <v>10</v>
      </c>
      <c r="D29" s="10">
        <v>89261</v>
      </c>
      <c r="E29" s="10">
        <v>727462410</v>
      </c>
      <c r="F29" s="11">
        <f t="shared" si="0"/>
        <v>8149.8348662909893</v>
      </c>
      <c r="G29" s="12">
        <v>6.2100000381469727</v>
      </c>
      <c r="H29" s="13">
        <f t="shared" si="1"/>
        <v>50610.474830558574</v>
      </c>
    </row>
    <row r="30" spans="1:8" x14ac:dyDescent="0.25">
      <c r="A30" s="2" t="s">
        <v>71</v>
      </c>
      <c r="B30" s="3" t="s">
        <v>72</v>
      </c>
      <c r="C30" s="3" t="s">
        <v>10</v>
      </c>
      <c r="D30" s="4">
        <v>88909</v>
      </c>
      <c r="E30" s="4">
        <v>608216821</v>
      </c>
      <c r="F30" s="5">
        <f t="shared" si="0"/>
        <v>6840.8914845516201</v>
      </c>
      <c r="G30" s="6">
        <v>47.560001373291023</v>
      </c>
      <c r="H30" s="7">
        <f t="shared" si="1"/>
        <v>325352.80839980993</v>
      </c>
    </row>
    <row r="31" spans="1:8" x14ac:dyDescent="0.25">
      <c r="A31" s="8" t="s">
        <v>73</v>
      </c>
      <c r="B31" s="9" t="s">
        <v>74</v>
      </c>
      <c r="C31" s="9" t="s">
        <v>10</v>
      </c>
      <c r="D31" s="10">
        <v>82373</v>
      </c>
      <c r="E31" s="10">
        <v>1246008097</v>
      </c>
      <c r="F31" s="11">
        <f t="shared" si="0"/>
        <v>15126.413958457262</v>
      </c>
      <c r="G31" s="12">
        <v>39.540000915527337</v>
      </c>
      <c r="H31" s="13">
        <f t="shared" si="1"/>
        <v>598098.42176604562</v>
      </c>
    </row>
    <row r="32" spans="1:8" x14ac:dyDescent="0.25">
      <c r="A32" s="2" t="s">
        <v>75</v>
      </c>
      <c r="B32" s="3" t="s">
        <v>76</v>
      </c>
      <c r="C32" s="3" t="s">
        <v>10</v>
      </c>
      <c r="D32" s="4">
        <v>75496</v>
      </c>
      <c r="E32" s="4">
        <v>297911632</v>
      </c>
      <c r="F32" s="5">
        <f t="shared" si="0"/>
        <v>3946.0584931652006</v>
      </c>
      <c r="G32" s="6">
        <v>25.899999618530281</v>
      </c>
      <c r="H32" s="7">
        <f t="shared" si="1"/>
        <v>102202.91346767687</v>
      </c>
    </row>
    <row r="33" spans="1:8" x14ac:dyDescent="0.25">
      <c r="A33" s="8" t="s">
        <v>77</v>
      </c>
      <c r="B33" s="9" t="s">
        <v>78</v>
      </c>
      <c r="C33" s="9" t="s">
        <v>10</v>
      </c>
      <c r="D33" s="10">
        <v>73122</v>
      </c>
      <c r="E33" s="10">
        <v>219994273</v>
      </c>
      <c r="F33" s="11">
        <f t="shared" si="0"/>
        <v>3008.592120018599</v>
      </c>
      <c r="G33" s="12">
        <v>17.969999313354489</v>
      </c>
      <c r="H33" s="13">
        <f t="shared" si="1"/>
        <v>54064.398330897951</v>
      </c>
    </row>
    <row r="34" spans="1:8" x14ac:dyDescent="0.25">
      <c r="A34" s="2" t="s">
        <v>79</v>
      </c>
      <c r="B34" s="3" t="s">
        <v>80</v>
      </c>
      <c r="C34" s="3" t="s">
        <v>10</v>
      </c>
      <c r="D34" s="4">
        <v>71939</v>
      </c>
      <c r="E34" s="4">
        <v>277531689</v>
      </c>
      <c r="F34" s="5">
        <f t="shared" ref="F34:F65" si="2">IFERROR(E34/D34,"")</f>
        <v>3857.8752693254005</v>
      </c>
      <c r="G34" s="6">
        <v>17.909999847412109</v>
      </c>
      <c r="H34" s="7">
        <f t="shared" ref="H34:H65" si="3">F34*G34</f>
        <v>69094.545484952876</v>
      </c>
    </row>
    <row r="35" spans="1:8" x14ac:dyDescent="0.25">
      <c r="A35" s="8" t="s">
        <v>81</v>
      </c>
      <c r="B35" s="9" t="s">
        <v>82</v>
      </c>
      <c r="C35" s="9" t="s">
        <v>10</v>
      </c>
      <c r="D35" s="10">
        <v>64240</v>
      </c>
      <c r="E35" s="10">
        <v>445109681</v>
      </c>
      <c r="F35" s="11">
        <f t="shared" si="2"/>
        <v>6928.855557285181</v>
      </c>
      <c r="G35" s="12">
        <v>4.0399999618530273</v>
      </c>
      <c r="H35" s="13">
        <f t="shared" si="3"/>
        <v>27992.576187117269</v>
      </c>
    </row>
    <row r="36" spans="1:8" x14ac:dyDescent="0.25">
      <c r="A36" s="2" t="s">
        <v>83</v>
      </c>
      <c r="B36" s="3" t="s">
        <v>84</v>
      </c>
      <c r="C36" s="3" t="s">
        <v>10</v>
      </c>
      <c r="D36" s="4">
        <v>61765</v>
      </c>
      <c r="E36" s="4">
        <v>1315741209</v>
      </c>
      <c r="F36" s="5">
        <f t="shared" si="2"/>
        <v>21302.375277260584</v>
      </c>
      <c r="G36" s="6">
        <v>19.45000076293945</v>
      </c>
      <c r="H36" s="7">
        <f t="shared" si="3"/>
        <v>414331.21539514081</v>
      </c>
    </row>
    <row r="37" spans="1:8" x14ac:dyDescent="0.25">
      <c r="A37" s="14" t="s">
        <v>15</v>
      </c>
      <c r="B37" s="15" t="s">
        <v>16</v>
      </c>
      <c r="C37" s="15" t="s">
        <v>10</v>
      </c>
      <c r="D37" s="16">
        <v>60606</v>
      </c>
      <c r="E37" s="16">
        <v>3524534026</v>
      </c>
      <c r="F37" s="17">
        <f t="shared" si="2"/>
        <v>58154.869583869586</v>
      </c>
      <c r="G37" s="18">
        <v>26.930000305175781</v>
      </c>
      <c r="H37" s="19">
        <f t="shared" si="3"/>
        <v>1566110.6556410657</v>
      </c>
    </row>
    <row r="38" spans="1:8" x14ac:dyDescent="0.25">
      <c r="A38" s="2" t="s">
        <v>85</v>
      </c>
      <c r="B38" s="3" t="s">
        <v>86</v>
      </c>
      <c r="C38" s="3" t="s">
        <v>10</v>
      </c>
      <c r="D38" s="4">
        <v>56682</v>
      </c>
      <c r="E38" s="4">
        <v>1030028001</v>
      </c>
      <c r="F38" s="5">
        <f t="shared" si="2"/>
        <v>18172.047581242721</v>
      </c>
      <c r="G38" s="6">
        <v>36.939998626708977</v>
      </c>
      <c r="H38" s="7">
        <f t="shared" si="3"/>
        <v>671275.41269559634</v>
      </c>
    </row>
    <row r="39" spans="1:8" x14ac:dyDescent="0.25">
      <c r="A39" s="8" t="s">
        <v>87</v>
      </c>
      <c r="B39" s="9" t="s">
        <v>88</v>
      </c>
      <c r="C39" s="9" t="s">
        <v>10</v>
      </c>
      <c r="D39" s="10">
        <v>54041</v>
      </c>
      <c r="E39" s="10">
        <v>1194079963</v>
      </c>
      <c r="F39" s="11">
        <f t="shared" si="2"/>
        <v>22095.815454932366</v>
      </c>
      <c r="G39" s="12">
        <v>38.759998321533203</v>
      </c>
      <c r="H39" s="13">
        <f t="shared" si="3"/>
        <v>856433.76994608587</v>
      </c>
    </row>
    <row r="40" spans="1:8" x14ac:dyDescent="0.25">
      <c r="A40" s="2" t="s">
        <v>89</v>
      </c>
      <c r="B40" s="3" t="s">
        <v>90</v>
      </c>
      <c r="C40" s="3" t="s">
        <v>10</v>
      </c>
      <c r="D40" s="4">
        <v>52331</v>
      </c>
      <c r="E40" s="4">
        <v>235390321</v>
      </c>
      <c r="F40" s="5">
        <f t="shared" si="2"/>
        <v>4498.1047753721505</v>
      </c>
      <c r="G40" s="6">
        <v>5.3400001525878906</v>
      </c>
      <c r="H40" s="7">
        <f t="shared" si="3"/>
        <v>24019.880186843602</v>
      </c>
    </row>
    <row r="41" spans="1:8" x14ac:dyDescent="0.25">
      <c r="A41" s="8" t="s">
        <v>91</v>
      </c>
      <c r="B41" s="9" t="s">
        <v>92</v>
      </c>
      <c r="C41" s="9" t="s">
        <v>10</v>
      </c>
      <c r="D41" s="10">
        <v>51432</v>
      </c>
      <c r="E41" s="10">
        <v>1791454506</v>
      </c>
      <c r="F41" s="11">
        <f t="shared" si="2"/>
        <v>34831.515515632294</v>
      </c>
      <c r="G41" s="12">
        <v>51.529998779296882</v>
      </c>
      <c r="H41" s="13">
        <f t="shared" si="3"/>
        <v>1794867.9520015926</v>
      </c>
    </row>
    <row r="42" spans="1:8" x14ac:dyDescent="0.25">
      <c r="A42" s="2" t="s">
        <v>93</v>
      </c>
      <c r="B42" s="3" t="s">
        <v>94</v>
      </c>
      <c r="C42" s="3" t="s">
        <v>10</v>
      </c>
      <c r="D42" s="4">
        <v>48012</v>
      </c>
      <c r="E42" s="4">
        <v>727229572</v>
      </c>
      <c r="F42" s="5">
        <f t="shared" si="2"/>
        <v>15146.829375989337</v>
      </c>
      <c r="G42" s="6">
        <v>7.929999828338623</v>
      </c>
      <c r="H42" s="7">
        <f t="shared" si="3"/>
        <v>120114.35435146985</v>
      </c>
    </row>
    <row r="43" spans="1:8" x14ac:dyDescent="0.25">
      <c r="A43" s="8" t="s">
        <v>95</v>
      </c>
      <c r="B43" s="9" t="s">
        <v>96</v>
      </c>
      <c r="C43" s="9" t="s">
        <v>10</v>
      </c>
      <c r="D43" s="10">
        <v>46146</v>
      </c>
      <c r="E43" s="10">
        <v>515889217</v>
      </c>
      <c r="F43" s="11">
        <f t="shared" si="2"/>
        <v>11179.500216703505</v>
      </c>
      <c r="G43" s="12">
        <v>33.830001831054688</v>
      </c>
      <c r="H43" s="13">
        <f t="shared" si="3"/>
        <v>378202.51280135586</v>
      </c>
    </row>
    <row r="44" spans="1:8" x14ac:dyDescent="0.25">
      <c r="A44" s="2" t="s">
        <v>97</v>
      </c>
      <c r="B44" s="3" t="s">
        <v>98</v>
      </c>
      <c r="C44" s="3" t="s">
        <v>10</v>
      </c>
      <c r="D44" s="4">
        <v>40026</v>
      </c>
      <c r="E44" s="4">
        <v>1335651252</v>
      </c>
      <c r="F44" s="5">
        <f t="shared" si="2"/>
        <v>33369.591065807224</v>
      </c>
      <c r="G44" s="6">
        <v>9.6499996185302717</v>
      </c>
      <c r="H44" s="7">
        <f t="shared" si="3"/>
        <v>322016.54105555086</v>
      </c>
    </row>
    <row r="45" spans="1:8" x14ac:dyDescent="0.25">
      <c r="A45" s="8" t="s">
        <v>99</v>
      </c>
      <c r="B45" s="9" t="s">
        <v>100</v>
      </c>
      <c r="C45" s="9" t="s">
        <v>10</v>
      </c>
      <c r="D45" s="10">
        <v>37858</v>
      </c>
      <c r="E45" s="10">
        <v>296007718</v>
      </c>
      <c r="F45" s="11">
        <f t="shared" si="2"/>
        <v>7818.8947646468378</v>
      </c>
      <c r="G45" s="12">
        <v>23.379999160766602</v>
      </c>
      <c r="H45" s="13">
        <f t="shared" si="3"/>
        <v>182805.75303556543</v>
      </c>
    </row>
    <row r="46" spans="1:8" x14ac:dyDescent="0.25">
      <c r="A46" s="2" t="s">
        <v>101</v>
      </c>
      <c r="B46" s="3" t="s">
        <v>102</v>
      </c>
      <c r="C46" s="3" t="s">
        <v>10</v>
      </c>
      <c r="D46" s="4">
        <v>37418</v>
      </c>
      <c r="E46" s="4">
        <v>373751274</v>
      </c>
      <c r="F46" s="5">
        <f t="shared" si="2"/>
        <v>9988.5422523918969</v>
      </c>
      <c r="G46" s="6">
        <v>4</v>
      </c>
      <c r="H46" s="7">
        <f t="shared" si="3"/>
        <v>39954.169009567588</v>
      </c>
    </row>
    <row r="47" spans="1:8" x14ac:dyDescent="0.25">
      <c r="A47" s="8" t="s">
        <v>103</v>
      </c>
      <c r="B47" s="9" t="s">
        <v>104</v>
      </c>
      <c r="C47" s="9" t="s">
        <v>10</v>
      </c>
      <c r="D47" s="10">
        <v>33810</v>
      </c>
      <c r="E47" s="10">
        <v>275619506</v>
      </c>
      <c r="F47" s="11">
        <f t="shared" si="2"/>
        <v>8152.0114167406091</v>
      </c>
      <c r="G47" s="12">
        <v>6.630000114440918</v>
      </c>
      <c r="H47" s="13">
        <f t="shared" si="3"/>
        <v>54047.836625913907</v>
      </c>
    </row>
    <row r="48" spans="1:8" x14ac:dyDescent="0.25">
      <c r="A48" s="2" t="s">
        <v>105</v>
      </c>
      <c r="B48" s="3" t="s">
        <v>106</v>
      </c>
      <c r="C48" s="3" t="s">
        <v>10</v>
      </c>
      <c r="D48" s="4">
        <v>32818</v>
      </c>
      <c r="E48" s="4">
        <v>1406822230</v>
      </c>
      <c r="F48" s="5">
        <f t="shared" si="2"/>
        <v>42867.396855384242</v>
      </c>
      <c r="G48" s="6">
        <v>14.69999980926514</v>
      </c>
      <c r="H48" s="7">
        <f t="shared" si="3"/>
        <v>630150.72559784143</v>
      </c>
    </row>
    <row r="49" spans="1:8" x14ac:dyDescent="0.25">
      <c r="A49" s="8" t="s">
        <v>107</v>
      </c>
      <c r="B49" s="9" t="s">
        <v>108</v>
      </c>
      <c r="C49" s="9" t="s">
        <v>10</v>
      </c>
      <c r="D49" s="10">
        <v>30608</v>
      </c>
      <c r="E49" s="10">
        <v>1067930953</v>
      </c>
      <c r="F49" s="11">
        <f t="shared" si="2"/>
        <v>34890.582625457399</v>
      </c>
      <c r="G49" s="12">
        <v>38.430000305175781</v>
      </c>
      <c r="H49" s="13">
        <f t="shared" si="3"/>
        <v>1340845.1009440885</v>
      </c>
    </row>
    <row r="50" spans="1:8" x14ac:dyDescent="0.25">
      <c r="A50" s="2" t="s">
        <v>109</v>
      </c>
      <c r="B50" s="3" t="s">
        <v>110</v>
      </c>
      <c r="C50" s="3" t="s">
        <v>111</v>
      </c>
      <c r="D50" s="4">
        <v>30099</v>
      </c>
      <c r="E50" s="4">
        <v>123583436</v>
      </c>
      <c r="F50" s="5">
        <f t="shared" si="2"/>
        <v>4105.8984019402642</v>
      </c>
      <c r="G50" s="6">
        <v>20</v>
      </c>
      <c r="H50" s="7">
        <f t="shared" si="3"/>
        <v>82117.96803880528</v>
      </c>
    </row>
    <row r="51" spans="1:8" x14ac:dyDescent="0.25">
      <c r="A51" s="8" t="s">
        <v>112</v>
      </c>
      <c r="B51" s="9" t="s">
        <v>113</v>
      </c>
      <c r="C51" s="9" t="s">
        <v>10</v>
      </c>
      <c r="D51" s="10">
        <v>28962</v>
      </c>
      <c r="E51" s="10">
        <v>1002045228</v>
      </c>
      <c r="F51" s="11">
        <f t="shared" si="2"/>
        <v>34598.61984669567</v>
      </c>
      <c r="G51" s="12">
        <v>16.360000610351559</v>
      </c>
      <c r="H51" s="13">
        <f t="shared" si="3"/>
        <v>566033.44180926273</v>
      </c>
    </row>
    <row r="52" spans="1:8" x14ac:dyDescent="0.25">
      <c r="A52" s="2" t="s">
        <v>114</v>
      </c>
      <c r="B52" s="3" t="s">
        <v>115</v>
      </c>
      <c r="C52" s="3" t="s">
        <v>10</v>
      </c>
      <c r="D52" s="4">
        <v>27934</v>
      </c>
      <c r="E52" s="4">
        <v>1603651339</v>
      </c>
      <c r="F52" s="5">
        <f t="shared" si="2"/>
        <v>57408.582336937063</v>
      </c>
      <c r="G52" s="6">
        <v>3.7000000476837158</v>
      </c>
      <c r="H52" s="7">
        <f t="shared" si="3"/>
        <v>212411.75738412165</v>
      </c>
    </row>
    <row r="53" spans="1:8" x14ac:dyDescent="0.25">
      <c r="A53" s="8" t="s">
        <v>116</v>
      </c>
      <c r="B53" s="9" t="s">
        <v>117</v>
      </c>
      <c r="C53" s="9" t="s">
        <v>10</v>
      </c>
      <c r="D53" s="10">
        <v>26713</v>
      </c>
      <c r="E53" s="10">
        <v>322143505</v>
      </c>
      <c r="F53" s="11">
        <f t="shared" si="2"/>
        <v>12059.428181035451</v>
      </c>
      <c r="G53" s="12">
        <v>30.190000534057621</v>
      </c>
      <c r="H53" s="13">
        <f t="shared" si="3"/>
        <v>364074.14322588983</v>
      </c>
    </row>
    <row r="54" spans="1:8" x14ac:dyDescent="0.25">
      <c r="A54" s="2" t="s">
        <v>118</v>
      </c>
      <c r="B54" s="3" t="s">
        <v>119</v>
      </c>
      <c r="C54" s="3" t="s">
        <v>10</v>
      </c>
      <c r="D54" s="4">
        <v>19071</v>
      </c>
      <c r="E54" s="4">
        <v>247852006</v>
      </c>
      <c r="F54" s="5">
        <f t="shared" si="2"/>
        <v>12996.277384510513</v>
      </c>
      <c r="G54" s="6">
        <v>10.14999961853027</v>
      </c>
      <c r="H54" s="7">
        <f t="shared" si="3"/>
        <v>131912.21049509529</v>
      </c>
    </row>
    <row r="55" spans="1:8" x14ac:dyDescent="0.25">
      <c r="A55" s="8" t="s">
        <v>120</v>
      </c>
      <c r="B55" s="9" t="s">
        <v>121</v>
      </c>
      <c r="C55" s="9" t="s">
        <v>10</v>
      </c>
      <c r="D55" s="10">
        <v>1</v>
      </c>
      <c r="E55" s="10">
        <v>0</v>
      </c>
      <c r="F55" s="11">
        <f t="shared" si="2"/>
        <v>0</v>
      </c>
      <c r="G55" s="12">
        <v>35.680000305175781</v>
      </c>
      <c r="H55" s="13">
        <f t="shared" si="3"/>
        <v>0</v>
      </c>
    </row>
    <row r="56" spans="1:8" x14ac:dyDescent="0.25">
      <c r="A56" s="2" t="s">
        <v>122</v>
      </c>
      <c r="B56" s="3" t="s">
        <v>123</v>
      </c>
      <c r="C56" s="3" t="s">
        <v>10</v>
      </c>
      <c r="D56" s="4">
        <v>1</v>
      </c>
      <c r="E56" s="4">
        <v>0</v>
      </c>
      <c r="F56" s="5">
        <f t="shared" si="2"/>
        <v>0</v>
      </c>
      <c r="G56" s="6">
        <v>0.10000000149011611</v>
      </c>
      <c r="H56" s="7">
        <f t="shared" si="3"/>
        <v>0</v>
      </c>
    </row>
    <row r="57" spans="1:8" x14ac:dyDescent="0.25">
      <c r="A57" s="8" t="s">
        <v>124</v>
      </c>
      <c r="B57" s="9" t="s">
        <v>125</v>
      </c>
      <c r="C57" s="9" t="s">
        <v>10</v>
      </c>
      <c r="D57" s="10">
        <v>1</v>
      </c>
      <c r="E57" s="10">
        <v>0</v>
      </c>
      <c r="F57" s="11">
        <f t="shared" si="2"/>
        <v>0</v>
      </c>
      <c r="G57" s="12">
        <v>25.85000038146973</v>
      </c>
      <c r="H57" s="13">
        <f t="shared" si="3"/>
        <v>0</v>
      </c>
    </row>
    <row r="58" spans="1:8" x14ac:dyDescent="0.25">
      <c r="A58" s="2" t="s">
        <v>126</v>
      </c>
      <c r="B58" s="3" t="s">
        <v>127</v>
      </c>
      <c r="C58" s="3" t="s">
        <v>10</v>
      </c>
      <c r="D58" s="4">
        <v>275691</v>
      </c>
      <c r="E58" s="4">
        <v>2854464053</v>
      </c>
      <c r="F58" s="5">
        <f t="shared" si="2"/>
        <v>10353.852875139195</v>
      </c>
      <c r="G58" s="20" t="s">
        <v>128</v>
      </c>
      <c r="H58" s="21" t="s">
        <v>129</v>
      </c>
    </row>
    <row r="59" spans="1:8" x14ac:dyDescent="0.25">
      <c r="A59" s="8" t="s">
        <v>130</v>
      </c>
      <c r="B59" s="9" t="s">
        <v>131</v>
      </c>
      <c r="C59" s="9" t="s">
        <v>10</v>
      </c>
      <c r="D59" s="10">
        <v>104168</v>
      </c>
      <c r="E59" s="10">
        <v>735470942</v>
      </c>
      <c r="F59" s="11">
        <f t="shared" si="2"/>
        <v>7060.4306696874282</v>
      </c>
      <c r="G59" s="22" t="s">
        <v>128</v>
      </c>
      <c r="H59" s="23" t="s">
        <v>129</v>
      </c>
    </row>
    <row r="60" spans="1:8" x14ac:dyDescent="0.25">
      <c r="A60" s="2" t="s">
        <v>132</v>
      </c>
      <c r="B60" s="3" t="s">
        <v>133</v>
      </c>
      <c r="C60" s="3" t="s">
        <v>10</v>
      </c>
      <c r="D60" s="4">
        <v>92398</v>
      </c>
      <c r="E60" s="4">
        <v>711833141</v>
      </c>
      <c r="F60" s="5">
        <f t="shared" si="2"/>
        <v>7703.98862529492</v>
      </c>
      <c r="G60" s="20" t="s">
        <v>128</v>
      </c>
      <c r="H60" s="21" t="s">
        <v>129</v>
      </c>
    </row>
    <row r="61" spans="1:8" x14ac:dyDescent="0.25">
      <c r="A61" s="8" t="s">
        <v>134</v>
      </c>
      <c r="B61" s="9" t="s">
        <v>135</v>
      </c>
      <c r="C61" s="9" t="s">
        <v>136</v>
      </c>
      <c r="D61" s="10">
        <v>89966</v>
      </c>
      <c r="E61" s="10">
        <v>1853932413</v>
      </c>
      <c r="F61" s="11">
        <f t="shared" si="2"/>
        <v>20607.033912811508</v>
      </c>
      <c r="G61" s="22" t="s">
        <v>128</v>
      </c>
      <c r="H61" s="23" t="s">
        <v>129</v>
      </c>
    </row>
    <row r="62" spans="1:8" x14ac:dyDescent="0.25">
      <c r="A62" s="2" t="s">
        <v>137</v>
      </c>
      <c r="B62" s="3" t="s">
        <v>138</v>
      </c>
      <c r="C62" s="3" t="s">
        <v>10</v>
      </c>
      <c r="D62" s="4">
        <v>7991</v>
      </c>
      <c r="E62" s="4">
        <v>367341504</v>
      </c>
      <c r="F62" s="5">
        <f t="shared" si="2"/>
        <v>45969.403579026402</v>
      </c>
      <c r="G62" s="20" t="s">
        <v>128</v>
      </c>
      <c r="H62" s="21" t="s">
        <v>129</v>
      </c>
    </row>
    <row r="63" spans="1:8" x14ac:dyDescent="0.25">
      <c r="A63" s="8" t="s">
        <v>139</v>
      </c>
      <c r="B63" s="9" t="s">
        <v>140</v>
      </c>
      <c r="C63" s="9" t="s">
        <v>10</v>
      </c>
      <c r="D63" s="10">
        <v>1</v>
      </c>
      <c r="E63" s="10">
        <v>0</v>
      </c>
      <c r="F63" s="11">
        <f t="shared" si="2"/>
        <v>0</v>
      </c>
      <c r="G63" s="22" t="s">
        <v>128</v>
      </c>
      <c r="H63" s="23" t="s">
        <v>129</v>
      </c>
    </row>
    <row r="65" spans="1:8" ht="27.95" customHeight="1" x14ac:dyDescent="0.25">
      <c r="A65" s="24" t="s">
        <v>29</v>
      </c>
      <c r="B65" s="25"/>
      <c r="C65" s="25"/>
      <c r="D65" s="25"/>
      <c r="E65" s="25"/>
      <c r="F65" s="25"/>
      <c r="G65" s="25"/>
      <c r="H65" s="25"/>
    </row>
    <row r="66" spans="1:8" ht="27.95" customHeight="1" x14ac:dyDescent="0.25">
      <c r="A66" s="24" t="s">
        <v>30</v>
      </c>
      <c r="B66" s="25"/>
      <c r="C66" s="25"/>
      <c r="D66" s="25"/>
      <c r="E66" s="25"/>
      <c r="F66" s="25"/>
      <c r="G66" s="25"/>
      <c r="H66" s="25"/>
    </row>
    <row r="67" spans="1:8" ht="27.95" customHeight="1" x14ac:dyDescent="0.25">
      <c r="A67" s="24" t="s">
        <v>31</v>
      </c>
      <c r="B67" s="25"/>
      <c r="C67" s="25"/>
      <c r="D67" s="25"/>
      <c r="E67" s="25"/>
      <c r="F67" s="25"/>
      <c r="G67" s="25"/>
      <c r="H67" s="25"/>
    </row>
    <row r="68" spans="1:8" ht="27.95" customHeight="1" x14ac:dyDescent="0.25">
      <c r="A68" s="24" t="s">
        <v>32</v>
      </c>
      <c r="B68" s="25"/>
      <c r="C68" s="25"/>
      <c r="D68" s="25"/>
      <c r="E68" s="25"/>
      <c r="F68" s="25"/>
      <c r="G68" s="25"/>
      <c r="H68" s="25"/>
    </row>
  </sheetData>
  <autoFilter ref="A1:H63" xr:uid="{00000000-0009-0000-0000-000001000000}"/>
  <mergeCells count="4">
    <mergeCell ref="A65:H65"/>
    <mergeCell ref="A67:H67"/>
    <mergeCell ref="A68:H68"/>
    <mergeCell ref="A66:H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Top 10 (destaque)</vt:lpstr>
      <vt:lpstr>Todos os papéis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2026-10-15T16:33:17Z</dcterms:created>
  <dcterms:modified xsi:type="dcterms:W3CDTF">2026-10-15T16:33:47Z</dcterms:modified>
</cp:coreProperties>
</file>